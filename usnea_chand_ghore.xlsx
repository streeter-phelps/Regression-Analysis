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data_analysis\Suman Dai Manuscript\"/>
    </mc:Choice>
  </mc:AlternateContent>
  <xr:revisionPtr revIDLastSave="0" documentId="13_ncr:1_{33C7A004-1608-44AD-8A82-71DFFB852F84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3" i="1"/>
  <c r="Z4" i="1"/>
  <c r="Y4" i="1"/>
  <c r="X4" i="1"/>
  <c r="V4" i="1"/>
  <c r="U4" i="1"/>
  <c r="T4" i="1"/>
  <c r="S4" i="1"/>
  <c r="R4" i="1"/>
  <c r="Q4" i="1"/>
  <c r="P4" i="1"/>
  <c r="O4" i="1"/>
  <c r="N4" i="1"/>
  <c r="M4" i="1"/>
  <c r="L4" i="1"/>
  <c r="K4" i="1"/>
  <c r="Z3" i="1"/>
  <c r="Y3" i="1"/>
  <c r="X3" i="1"/>
  <c r="V3" i="1"/>
  <c r="U3" i="1"/>
  <c r="T3" i="1"/>
  <c r="S3" i="1"/>
  <c r="R3" i="1"/>
  <c r="Q3" i="1"/>
  <c r="P3" i="1"/>
  <c r="O3" i="1"/>
  <c r="N3" i="1"/>
  <c r="M3" i="1"/>
  <c r="L3" i="1"/>
  <c r="K3" i="1"/>
</calcChain>
</file>

<file path=xl/sharedStrings.xml><?xml version="1.0" encoding="utf-8"?>
<sst xmlns="http://schemas.openxmlformats.org/spreadsheetml/2006/main" count="212" uniqueCount="49">
  <si>
    <t>Tree</t>
  </si>
  <si>
    <t>Elevation</t>
  </si>
  <si>
    <t>DBH</t>
  </si>
  <si>
    <t>Crown</t>
  </si>
  <si>
    <t>Height</t>
  </si>
  <si>
    <t>Slope</t>
  </si>
  <si>
    <t>Barkroughness</t>
  </si>
  <si>
    <t>Abundance</t>
  </si>
  <si>
    <t>Nitrogen</t>
  </si>
  <si>
    <t>EC</t>
  </si>
  <si>
    <t>TPC</t>
  </si>
  <si>
    <t>DPPH</t>
  </si>
  <si>
    <t>CAT</t>
  </si>
  <si>
    <t>Ca</t>
  </si>
  <si>
    <t>Mn</t>
  </si>
  <si>
    <t>Ni</t>
  </si>
  <si>
    <t>Zn</t>
  </si>
  <si>
    <t>Pb</t>
  </si>
  <si>
    <t>Cd</t>
  </si>
  <si>
    <t>Site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</si>
  <si>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</si>
  <si>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</si>
  <si>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</si>
  <si>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</si>
  <si>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</si>
  <si>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</si>
  <si>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</si>
  <si>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</si>
  <si>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</si>
  <si>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</si>
  <si>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</si>
  <si>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</si>
  <si>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</si>
  <si>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</si>
  <si>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</si>
  <si>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Bark_pH</t>
  </si>
  <si>
    <t>Bark_EC</t>
  </si>
  <si>
    <t>Bark_Nitrogen</t>
  </si>
  <si>
    <t>Soil_pH</t>
  </si>
  <si>
    <t>Soil_EC</t>
  </si>
  <si>
    <t>Soil_Nitrogen</t>
  </si>
  <si>
    <t>Chl_a</t>
  </si>
  <si>
    <t>Chl_b</t>
  </si>
  <si>
    <t>Chl_Total</t>
  </si>
  <si>
    <t>Chl_Deg</t>
  </si>
  <si>
    <t>Chl_Flu</t>
  </si>
  <si>
    <t>KTM</t>
  </si>
  <si>
    <t>ACA</t>
  </si>
  <si>
    <t>Ammonium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</si>
</sst>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1"/>
  <sheetViews>
    <sheetView tabSelected="1" topLeftCell="L1" zoomScaleNormal="100" workbookViewId="0">
      <selection activeCell="AG1" sqref="AG1:AG1048576"/>
    </sheetView>
  </sheetViews>
  <sheetFormatPr defaultColWidth="9.109375" defaultRowHeight="14.4" x14ac:dyDescent="0.3"/>
  <cols>
    <col min="1" max="1" width="11.109375" style="1" bestFit="1" customWidth="1"/>
    <col min="2" max="2" width="5" style="1" bestFit="1" customWidth="1"/>
    <col min="3" max="3" width="9.33203125" style="1" bestFit="1" customWidth="1"/>
    <col min="4" max="4" width="6.5546875" style="1" bestFit="1" customWidth="1"/>
    <col min="5" max="5" width="6.6640625" style="1" bestFit="1" customWidth="1"/>
    <col min="6" max="6" width="6.88671875" style="1" bestFit="1" customWidth="1"/>
    <col min="7" max="7" width="6.5546875" style="1" bestFit="1" customWidth="1"/>
    <col min="8" max="8" width="14.109375" style="1" bestFit="1" customWidth="1"/>
    <col min="9" max="9" width="11" style="1" bestFit="1" customWidth="1"/>
    <col min="10" max="10" width="11" style="1" customWidth="1"/>
    <col min="11" max="11" width="8.88671875" style="1" bestFit="1" customWidth="1"/>
    <col min="12" max="12" width="7.5546875" style="1" bestFit="1" customWidth="1"/>
    <col min="13" max="14" width="6.5546875" style="1" bestFit="1" customWidth="1"/>
    <col min="15" max="15" width="9.33203125" style="1" bestFit="1" customWidth="1"/>
    <col min="16" max="16" width="8.33203125" style="1" bestFit="1" customWidth="1"/>
    <col min="17" max="18" width="7.5546875" style="1" bestFit="1" customWidth="1"/>
    <col min="19" max="19" width="6.5546875" style="1" bestFit="1" customWidth="1"/>
    <col min="20" max="20" width="5.5546875" style="1" bestFit="1" customWidth="1"/>
    <col min="21" max="21" width="9.5546875" style="1" bestFit="1" customWidth="1"/>
    <col min="22" max="22" width="7.5546875" style="1" bestFit="1" customWidth="1"/>
    <col min="23" max="25" width="6.5546875" style="1" bestFit="1" customWidth="1"/>
    <col min="26" max="26" width="5.5546875" style="1" bestFit="1" customWidth="1"/>
    <col min="27" max="27" width="8.33203125" style="1" bestFit="1" customWidth="1"/>
    <col min="28" max="28" width="8.5546875" style="1" bestFit="1" customWidth="1"/>
    <col min="29" max="29" width="13.88671875" style="1" bestFit="1" customWidth="1"/>
    <col min="30" max="30" width="7.6640625" style="1" bestFit="1" customWidth="1"/>
    <col min="31" max="31" width="7.5546875" style="1" bestFit="1" customWidth="1"/>
    <col min="32" max="32" width="13.33203125" style="1" bestFit="1" customWidth="1"/>
    <col min="33" max="33" width="10.33203125" style="1" bestFit="1" customWidth="1"/>
    <col min="34" max="34" width="5" style="1" bestFit="1" customWidth="1"/>
    <col min="35" max="35" width="9.33203125" style="1" bestFit="1" customWidth="1"/>
    <col min="36" max="36" width="6.5546875" style="1" bestFit="1" customWidth="1"/>
    <col min="37" max="37" width="6.6640625" style="1" bestFit="1" customWidth="1"/>
    <col min="38" max="38" width="6.88671875" style="1" bestFit="1" customWidth="1"/>
    <col min="39" max="39" width="6.5546875" style="1" bestFit="1" customWidth="1"/>
    <col min="40" max="40" width="14.109375" style="1" bestFit="1" customWidth="1"/>
    <col min="41" max="41" width="11" style="1" bestFit="1" customWidth="1"/>
    <col min="42" max="42" width="8.88671875" style="1" bestFit="1" customWidth="1"/>
    <col min="43" max="44" width="7.5546875" style="1" bestFit="1" customWidth="1"/>
    <col min="45" max="46" width="6.5546875" style="1" bestFit="1" customWidth="1"/>
    <col min="47" max="47" width="9.33203125" style="1" bestFit="1" customWidth="1"/>
    <col min="48" max="48" width="8.33203125" style="1" bestFit="1" customWidth="1"/>
    <col min="49" max="50" width="7.5546875" style="1" bestFit="1" customWidth="1"/>
    <col min="51" max="51" width="6.5546875" style="1" bestFit="1" customWidth="1"/>
    <col min="52" max="52" width="5.5546875" style="1" bestFit="1" customWidth="1"/>
    <col min="53" max="53" width="7.5546875" style="1" bestFit="1" customWidth="1"/>
    <col min="54" max="54" width="8.5546875" style="1" bestFit="1" customWidth="1"/>
    <col min="55" max="55" width="7.5546875" style="1" bestFit="1" customWidth="1"/>
    <col min="56" max="56" width="9.5546875" style="1" bestFit="1" customWidth="1"/>
    <col min="57" max="57" width="6.5546875" style="1" bestFit="1" customWidth="1"/>
    <col min="58" max="58" width="7.5546875" style="1" bestFit="1" customWidth="1"/>
    <col min="59" max="59" width="6.5546875" style="1" bestFit="1" customWidth="1"/>
    <col min="60" max="60" width="5.5546875" style="1" bestFit="1" customWidth="1"/>
    <col min="61" max="62" width="6.5546875" style="1" bestFit="1" customWidth="1"/>
    <col min="63" max="63" width="5.5546875" style="1" bestFit="1" customWidth="1"/>
    <col min="64" max="64" width="8.33203125" style="1" bestFit="1" customWidth="1"/>
    <col min="65" max="65" width="8.5546875" style="1" bestFit="1" customWidth="1"/>
    <col min="66" max="66" width="13.88671875" style="1" bestFit="1" customWidth="1"/>
    <col min="67" max="67" width="7.6640625" style="1" bestFit="1" customWidth="1"/>
    <col min="68" max="68" width="7.5546875" style="1" bestFit="1" customWidth="1"/>
    <col min="69" max="69" width="13.33203125" style="1" bestFit="1" customWidth="1"/>
    <col min="70" max="16384" width="9.109375" style="1"/>
  </cols>
  <sheetData>
    <row r="1" spans="1:32" x14ac:dyDescent="0.3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48</v>
      </c>
      <c r="K1" s="1" t="s">
        <v>8</v>
      </c>
      <c r="L1" s="1" t="s">
        <v>9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</row>
    <row r="2" spans="1:32" x14ac:dyDescent="0.3">
      <c r="A2" s="1" t="s">
        <v>46</v>
      </c>
      <c r="B2" s="1" t="s">
        <v>20</v>
      </c>
      <c r="C2" s="1">
        <v>2244</v>
      </c>
      <c r="D2" s="1">
        <v>34</v>
      </c>
      <c r="E2" s="1">
        <v>95</v>
      </c>
      <c r="F2" s="1">
        <v>14</v>
      </c>
      <c r="G2" s="1">
        <v>44</v>
      </c>
      <c r="H2" s="1">
        <v>3</v>
      </c>
      <c r="I2" s="1">
        <v>1</v>
      </c>
      <c r="J2" s="1">
        <v>63.16</v>
      </c>
      <c r="K2" s="1">
        <v>0.97899999999999998</v>
      </c>
      <c r="L2" s="1">
        <v>57.5</v>
      </c>
      <c r="M2" s="1">
        <v>14.734999999999999</v>
      </c>
      <c r="N2" s="1">
        <v>8.3140000000000001</v>
      </c>
      <c r="O2" s="1">
        <v>23.048999999999999</v>
      </c>
      <c r="P2" s="1">
        <v>1.3240000000000001</v>
      </c>
      <c r="Q2" s="1">
        <v>0.6</v>
      </c>
      <c r="R2" s="1">
        <v>163.03200459999999</v>
      </c>
      <c r="S2" s="1">
        <v>50.712250709999999</v>
      </c>
      <c r="T2" s="1">
        <v>0.352043628</v>
      </c>
      <c r="U2" s="1">
        <v>3853.2417999999998</v>
      </c>
      <c r="V2" s="1">
        <v>11.103300000000001</v>
      </c>
      <c r="W2" s="1">
        <v>0</v>
      </c>
      <c r="X2" s="1">
        <v>2.6412</v>
      </c>
      <c r="Y2" s="1">
        <v>37.076799999999999</v>
      </c>
      <c r="Z2" s="1">
        <v>1.1592</v>
      </c>
      <c r="AA2" s="1">
        <v>4.8499999999999996</v>
      </c>
      <c r="AB2" s="1">
        <v>472</v>
      </c>
      <c r="AC2" s="1">
        <v>1.349</v>
      </c>
      <c r="AD2" s="1">
        <v>4.68</v>
      </c>
      <c r="AE2" s="1">
        <v>445</v>
      </c>
      <c r="AF2" s="1">
        <v>0.33647999999999995</v>
      </c>
    </row>
    <row r="3" spans="1:32" x14ac:dyDescent="0.3">
      <c r="A3" s="1" t="s">
        <v>46</v>
      </c>
      <c r="B3" s="1" t="s">
        <v>20</v>
      </c>
      <c r="C3" s="1">
        <v>2244</v>
      </c>
      <c r="D3" s="1">
        <v>34</v>
      </c>
      <c r="E3" s="1">
        <v>95</v>
      </c>
      <c r="F3" s="1">
        <v>14</v>
      </c>
      <c r="G3" s="1">
        <v>44</v>
      </c>
      <c r="H3" s="1">
        <v>3</v>
      </c>
      <c r="I3" s="1">
        <v>1</v>
      </c>
      <c r="J3" s="1">
        <f>J2*0.14%+J2</f>
        <v>63.248424</v>
      </c>
      <c r="K3" s="1">
        <f t="shared" ref="K3:T3" si="0">K2*0.14%+K2</f>
        <v>0.98037059999999998</v>
      </c>
      <c r="L3" s="1">
        <f t="shared" si="0"/>
        <v>57.580500000000001</v>
      </c>
      <c r="M3" s="1">
        <f t="shared" si="0"/>
        <v>14.755628999999999</v>
      </c>
      <c r="N3" s="1">
        <f t="shared" si="0"/>
        <v>8.3256396000000006</v>
      </c>
      <c r="O3" s="1">
        <f t="shared" si="0"/>
        <v>23.081268599999998</v>
      </c>
      <c r="P3" s="1">
        <f t="shared" si="0"/>
        <v>1.3258536000000001</v>
      </c>
      <c r="Q3" s="1">
        <f t="shared" si="0"/>
        <v>0.60083999999999993</v>
      </c>
      <c r="R3" s="1">
        <f t="shared" si="0"/>
        <v>163.26024940643998</v>
      </c>
      <c r="S3" s="1">
        <f t="shared" si="0"/>
        <v>50.783247860994003</v>
      </c>
      <c r="T3" s="1">
        <f t="shared" si="0"/>
        <v>0.35253648907919999</v>
      </c>
      <c r="U3" s="1">
        <f>U2*0.14%+U2</f>
        <v>3858.6363385199998</v>
      </c>
      <c r="V3" s="1">
        <f t="shared" ref="V3:Z3" si="1">V2*0.14%+V2</f>
        <v>11.118844620000001</v>
      </c>
      <c r="W3" s="1">
        <v>0</v>
      </c>
      <c r="X3" s="1">
        <f t="shared" si="1"/>
        <v>2.6448976800000001</v>
      </c>
      <c r="Y3" s="1">
        <f t="shared" si="1"/>
        <v>37.128707519999999</v>
      </c>
      <c r="Z3" s="1">
        <f t="shared" si="1"/>
        <v>1.16082288</v>
      </c>
      <c r="AA3" s="1">
        <v>4.87</v>
      </c>
      <c r="AB3" s="1">
        <v>470</v>
      </c>
      <c r="AC3" s="1">
        <v>1.2749999999999999</v>
      </c>
      <c r="AD3" s="1">
        <v>5.8</v>
      </c>
      <c r="AE3" s="1">
        <v>178.2</v>
      </c>
      <c r="AF3" s="1">
        <v>0.44863999999999998</v>
      </c>
    </row>
    <row r="4" spans="1:32" x14ac:dyDescent="0.3">
      <c r="A4" s="1" t="s">
        <v>46</v>
      </c>
      <c r="B4" s="1" t="s">
        <v>20</v>
      </c>
      <c r="C4" s="1">
        <v>2244</v>
      </c>
      <c r="D4" s="1">
        <v>34</v>
      </c>
      <c r="E4" s="1">
        <v>95</v>
      </c>
      <c r="F4" s="1">
        <v>14</v>
      </c>
      <c r="G4" s="1">
        <v>44</v>
      </c>
      <c r="H4" s="1">
        <v>3</v>
      </c>
      <c r="I4" s="1">
        <v>1</v>
      </c>
      <c r="J4" s="1">
        <f>J2*0.15%+J2</f>
        <v>63.254739999999998</v>
      </c>
      <c r="K4" s="1">
        <f t="shared" ref="K4:Z4" si="2">K2*0.15%+K2</f>
        <v>0.98046849999999997</v>
      </c>
      <c r="L4" s="1">
        <f t="shared" si="2"/>
        <v>57.58625</v>
      </c>
      <c r="M4" s="1">
        <f t="shared" si="2"/>
        <v>14.7571025</v>
      </c>
      <c r="N4" s="1">
        <f t="shared" si="2"/>
        <v>8.3264709999999997</v>
      </c>
      <c r="O4" s="1">
        <f t="shared" si="2"/>
        <v>23.0835735</v>
      </c>
      <c r="P4" s="1">
        <f t="shared" si="2"/>
        <v>1.3259860000000001</v>
      </c>
      <c r="Q4" s="1">
        <f t="shared" si="2"/>
        <v>0.60089999999999999</v>
      </c>
      <c r="R4" s="1">
        <f t="shared" si="2"/>
        <v>163.2765526069</v>
      </c>
      <c r="S4" s="1">
        <f t="shared" si="2"/>
        <v>50.788319086065002</v>
      </c>
      <c r="T4" s="1">
        <f t="shared" si="2"/>
        <v>0.35257169344200001</v>
      </c>
      <c r="U4" s="1">
        <f t="shared" si="2"/>
        <v>3859.0216627</v>
      </c>
      <c r="V4" s="1">
        <f t="shared" si="2"/>
        <v>11.11995495</v>
      </c>
      <c r="W4" s="1">
        <v>0</v>
      </c>
      <c r="X4" s="1">
        <f t="shared" si="2"/>
        <v>2.6451617999999999</v>
      </c>
      <c r="Y4" s="1">
        <f t="shared" si="2"/>
        <v>37.132415199999997</v>
      </c>
      <c r="Z4" s="1">
        <f t="shared" si="2"/>
        <v>1.1609388</v>
      </c>
      <c r="AA4" s="1">
        <v>4.8600000000000003</v>
      </c>
      <c r="AB4" s="1">
        <v>462</v>
      </c>
      <c r="AC4" s="1">
        <v>1.3029999999999999</v>
      </c>
      <c r="AD4" s="1">
        <v>4.97</v>
      </c>
      <c r="AE4" s="1">
        <v>188.6</v>
      </c>
      <c r="AF4" s="1">
        <v>0.42059999999999992</v>
      </c>
    </row>
    <row r="5" spans="1:32" x14ac:dyDescent="0.3">
      <c r="A5" s="1" t="s">
        <v>46</v>
      </c>
      <c r="B5" s="1" t="s">
        <v>21</v>
      </c>
      <c r="C5" s="1">
        <v>2234</v>
      </c>
      <c r="D5" s="1">
        <v>32</v>
      </c>
      <c r="E5" s="1">
        <v>70</v>
      </c>
      <c r="F5" s="1">
        <v>9</v>
      </c>
      <c r="G5" s="1">
        <v>30</v>
      </c>
      <c r="H5" s="1">
        <v>3</v>
      </c>
      <c r="I5" s="1">
        <v>1</v>
      </c>
      <c r="J5" s="1">
        <v>50.24</v>
      </c>
      <c r="K5" s="1">
        <v>0.45700000000000002</v>
      </c>
      <c r="L5" s="1">
        <v>42.2</v>
      </c>
      <c r="M5" s="1">
        <v>22.434999999999999</v>
      </c>
      <c r="N5" s="1">
        <v>6.5839999999999996</v>
      </c>
      <c r="O5" s="1">
        <v>29.02</v>
      </c>
      <c r="P5" s="1">
        <v>1.0840000000000001</v>
      </c>
      <c r="Q5" s="1">
        <v>0.60899999999999999</v>
      </c>
      <c r="R5" s="1">
        <v>136.55770000000001</v>
      </c>
      <c r="S5" s="1">
        <v>52.706600000000002</v>
      </c>
      <c r="T5" s="1">
        <v>0.56120000000000003</v>
      </c>
      <c r="U5" s="1">
        <v>15919.4665</v>
      </c>
      <c r="V5" s="1">
        <v>49.965000000000003</v>
      </c>
      <c r="W5" s="1">
        <v>0</v>
      </c>
      <c r="X5" s="1">
        <v>16.0504</v>
      </c>
      <c r="Y5" s="1">
        <v>86.865600000000001</v>
      </c>
      <c r="Z5" s="1">
        <v>3.9518</v>
      </c>
      <c r="AA5" s="1">
        <v>4.92</v>
      </c>
      <c r="AB5" s="1">
        <v>498</v>
      </c>
      <c r="AC5" s="1">
        <v>1.268</v>
      </c>
      <c r="AD5" s="1">
        <v>5.09</v>
      </c>
      <c r="AE5" s="1">
        <v>192.62</v>
      </c>
      <c r="AF5" s="1">
        <v>0.74305999999999994</v>
      </c>
    </row>
    <row r="6" spans="1:32" x14ac:dyDescent="0.3">
      <c r="A6" s="1" t="s">
        <v>46</v>
      </c>
      <c r="B6" s="1" t="s">
        <v>21</v>
      </c>
      <c r="C6" s="1">
        <v>2234</v>
      </c>
      <c r="D6" s="1">
        <v>32</v>
      </c>
      <c r="E6" s="1">
        <v>70</v>
      </c>
      <c r="F6" s="1">
        <v>9</v>
      </c>
      <c r="G6" s="1">
        <v>30</v>
      </c>
      <c r="H6" s="1">
        <v>3</v>
      </c>
      <c r="I6" s="1">
        <v>1</v>
      </c>
      <c r="J6" s="1">
        <v>48.96</v>
      </c>
      <c r="K6" s="1">
        <v>0.46899999999999997</v>
      </c>
      <c r="L6" s="1">
        <v>43</v>
      </c>
      <c r="M6" s="1">
        <v>22.3</v>
      </c>
      <c r="N6" s="1">
        <v>6.1929999999999996</v>
      </c>
      <c r="O6" s="1">
        <v>28.492999999999999</v>
      </c>
      <c r="P6" s="1">
        <v>1.0900000000000001</v>
      </c>
      <c r="Q6" s="1">
        <v>0.65</v>
      </c>
      <c r="R6" s="1">
        <v>132.84200000000001</v>
      </c>
      <c r="S6" s="1">
        <v>52.706600000000002</v>
      </c>
      <c r="T6" s="1">
        <v>0.57430000000000003</v>
      </c>
      <c r="U6" s="1">
        <v>17714.653999999999</v>
      </c>
      <c r="V6" s="1">
        <v>50.890300000000003</v>
      </c>
      <c r="W6" s="1">
        <v>0</v>
      </c>
      <c r="X6" s="1">
        <v>15.440899999999999</v>
      </c>
      <c r="Y6" s="1">
        <v>86.865600000000001</v>
      </c>
      <c r="Z6" s="1">
        <v>3.2667999999999999</v>
      </c>
      <c r="AA6" s="1">
        <v>4.92</v>
      </c>
      <c r="AB6" s="1">
        <v>498</v>
      </c>
      <c r="AC6" s="1">
        <v>1.2889999999999999</v>
      </c>
      <c r="AD6" s="1">
        <v>5.0599999999999996</v>
      </c>
      <c r="AE6" s="1">
        <v>190</v>
      </c>
      <c r="AF6" s="1">
        <v>0.64211599999999991</v>
      </c>
    </row>
    <row r="7" spans="1:32" x14ac:dyDescent="0.3">
      <c r="A7" s="1" t="s">
        <v>46</v>
      </c>
      <c r="B7" s="1" t="s">
        <v>21</v>
      </c>
      <c r="C7" s="1">
        <v>2234</v>
      </c>
      <c r="D7" s="1">
        <v>32</v>
      </c>
      <c r="E7" s="1">
        <v>70</v>
      </c>
      <c r="F7" s="1">
        <v>9</v>
      </c>
      <c r="G7" s="1">
        <v>30</v>
      </c>
      <c r="H7" s="1">
        <v>3</v>
      </c>
      <c r="I7" s="1">
        <v>1</v>
      </c>
      <c r="J7" s="1">
        <v>46.12</v>
      </c>
      <c r="K7" s="1">
        <v>0.46899999999999997</v>
      </c>
      <c r="L7" s="1">
        <v>42.6</v>
      </c>
      <c r="M7" s="1">
        <v>22.577999999999999</v>
      </c>
      <c r="N7" s="1">
        <v>6.6050000000000004</v>
      </c>
      <c r="O7" s="1">
        <v>29.183</v>
      </c>
      <c r="P7" s="1">
        <v>1.0840000000000001</v>
      </c>
      <c r="Q7" s="1">
        <v>0.65200000000000002</v>
      </c>
      <c r="R7" s="1">
        <v>132.99690000000001</v>
      </c>
      <c r="S7" s="1">
        <v>52.991500000000002</v>
      </c>
      <c r="T7" s="1">
        <v>0.46970000000000001</v>
      </c>
      <c r="U7" s="1">
        <v>15791.238799999999</v>
      </c>
      <c r="V7" s="1">
        <v>54.899799999999999</v>
      </c>
      <c r="W7" s="1">
        <v>0</v>
      </c>
      <c r="X7" s="1">
        <v>14.6282</v>
      </c>
      <c r="Y7" s="1">
        <v>84.746899999999997</v>
      </c>
      <c r="Z7" s="1">
        <v>3.2141000000000002</v>
      </c>
      <c r="AA7" s="1">
        <v>4.91</v>
      </c>
      <c r="AB7" s="1">
        <v>490</v>
      </c>
      <c r="AC7" s="1">
        <v>1.2749999999999999</v>
      </c>
      <c r="AD7" s="1">
        <v>5</v>
      </c>
      <c r="AE7" s="1">
        <v>191</v>
      </c>
      <c r="AF7" s="1">
        <v>0.62529199999999996</v>
      </c>
    </row>
    <row r="8" spans="1:32" x14ac:dyDescent="0.3">
      <c r="A8" s="1" t="s">
        <v>46</v>
      </c>
      <c r="B8" s="1" t="s">
        <v>22</v>
      </c>
      <c r="C8" s="1">
        <v>2237</v>
      </c>
      <c r="D8" s="1">
        <v>14</v>
      </c>
      <c r="E8" s="1">
        <v>40</v>
      </c>
      <c r="F8" s="1">
        <v>5</v>
      </c>
      <c r="G8" s="1">
        <v>28</v>
      </c>
      <c r="H8" s="1">
        <v>3</v>
      </c>
      <c r="I8" s="1">
        <v>1</v>
      </c>
      <c r="J8" s="1">
        <v>53.28</v>
      </c>
      <c r="K8" s="1">
        <v>0.53700000000000003</v>
      </c>
      <c r="L8" s="1">
        <v>51.2</v>
      </c>
      <c r="M8" s="1">
        <v>23.280999999999999</v>
      </c>
      <c r="N8" s="1">
        <v>8.6880000000000006</v>
      </c>
      <c r="O8" s="1">
        <v>31.969000000000001</v>
      </c>
      <c r="P8" s="1">
        <v>1.0609999999999999</v>
      </c>
      <c r="Q8" s="1">
        <v>0.63</v>
      </c>
      <c r="R8" s="1">
        <v>98.781499999999994</v>
      </c>
      <c r="S8" s="1">
        <v>60.398899999999998</v>
      </c>
      <c r="T8" s="1">
        <v>0.182</v>
      </c>
      <c r="U8" s="1">
        <v>16121.4251</v>
      </c>
      <c r="V8" s="1">
        <v>60.451500000000003</v>
      </c>
      <c r="W8" s="1">
        <v>0</v>
      </c>
      <c r="X8" s="1">
        <v>13.0029</v>
      </c>
      <c r="Y8" s="1">
        <v>31.780100000000001</v>
      </c>
      <c r="Z8" s="1">
        <v>3.4249000000000001</v>
      </c>
      <c r="AA8" s="1">
        <v>5.31</v>
      </c>
      <c r="AB8" s="1">
        <v>505</v>
      </c>
      <c r="AC8" s="1">
        <v>1.1919999999999999</v>
      </c>
      <c r="AD8" s="1">
        <v>5.19</v>
      </c>
      <c r="AE8" s="1">
        <v>226</v>
      </c>
      <c r="AF8" s="1">
        <v>1.0571079999999999</v>
      </c>
    </row>
    <row r="9" spans="1:32" x14ac:dyDescent="0.3">
      <c r="A9" s="1" t="s">
        <v>46</v>
      </c>
      <c r="B9" s="1" t="s">
        <v>22</v>
      </c>
      <c r="C9" s="1">
        <v>2237</v>
      </c>
      <c r="D9" s="1">
        <v>14</v>
      </c>
      <c r="E9" s="1">
        <v>40</v>
      </c>
      <c r="F9" s="1">
        <v>5</v>
      </c>
      <c r="G9" s="1">
        <v>28</v>
      </c>
      <c r="H9" s="1">
        <v>3</v>
      </c>
      <c r="I9" s="1">
        <v>1</v>
      </c>
      <c r="J9" s="1">
        <v>53.56</v>
      </c>
      <c r="K9" s="1">
        <v>0.53200000000000003</v>
      </c>
      <c r="L9" s="1">
        <v>52</v>
      </c>
      <c r="M9" s="1">
        <v>23.276</v>
      </c>
      <c r="N9" s="1">
        <v>8.6440000000000001</v>
      </c>
      <c r="O9" s="1">
        <v>31.92</v>
      </c>
      <c r="P9" s="1">
        <v>1.0649999999999999</v>
      </c>
      <c r="Q9" s="1">
        <v>0.7</v>
      </c>
      <c r="R9" s="1">
        <v>110.2383</v>
      </c>
      <c r="S9" s="1">
        <v>60.113999999999997</v>
      </c>
      <c r="T9" s="1">
        <v>0.26050000000000001</v>
      </c>
      <c r="U9" s="1">
        <v>15653.394</v>
      </c>
      <c r="V9" s="1">
        <v>60.759900000000002</v>
      </c>
      <c r="W9" s="1">
        <v>0</v>
      </c>
      <c r="X9" s="1">
        <v>12.596500000000001</v>
      </c>
      <c r="Y9" s="1">
        <v>60.382199999999997</v>
      </c>
      <c r="Z9" s="1">
        <v>2.3184</v>
      </c>
      <c r="AA9" s="1">
        <v>5.32</v>
      </c>
      <c r="AB9" s="1">
        <v>501</v>
      </c>
      <c r="AC9" s="1">
        <v>1.149</v>
      </c>
      <c r="AD9" s="1">
        <v>5.07</v>
      </c>
      <c r="AE9" s="1">
        <v>153.1</v>
      </c>
      <c r="AF9" s="1">
        <v>0.46546399999999993</v>
      </c>
    </row>
    <row r="10" spans="1:32" x14ac:dyDescent="0.3">
      <c r="A10" s="1" t="s">
        <v>46</v>
      </c>
      <c r="B10" s="1" t="s">
        <v>22</v>
      </c>
      <c r="C10" s="1">
        <v>2237</v>
      </c>
      <c r="D10" s="1">
        <v>14</v>
      </c>
      <c r="E10" s="1">
        <v>40</v>
      </c>
      <c r="F10" s="1">
        <v>5</v>
      </c>
      <c r="G10" s="1">
        <v>28</v>
      </c>
      <c r="H10" s="1">
        <v>3</v>
      </c>
      <c r="I10" s="1">
        <v>1</v>
      </c>
      <c r="J10" s="1">
        <v>53.56</v>
      </c>
      <c r="K10" s="1">
        <v>0.54600000000000004</v>
      </c>
      <c r="L10" s="1">
        <v>51.6</v>
      </c>
      <c r="M10" s="1">
        <v>23.305</v>
      </c>
      <c r="N10" s="1">
        <v>8.7680000000000007</v>
      </c>
      <c r="O10" s="1">
        <v>32.072000000000003</v>
      </c>
      <c r="P10" s="1">
        <v>1.085</v>
      </c>
      <c r="Q10" s="1">
        <v>0.67</v>
      </c>
      <c r="R10" s="1">
        <v>104.9744</v>
      </c>
      <c r="S10" s="1">
        <v>59.259300000000003</v>
      </c>
      <c r="T10" s="1">
        <v>0.1951</v>
      </c>
      <c r="U10" s="1">
        <v>17906.467799999999</v>
      </c>
      <c r="V10" s="1">
        <v>65.386300000000006</v>
      </c>
      <c r="W10" s="1">
        <v>0</v>
      </c>
      <c r="X10" s="1">
        <v>14.018700000000001</v>
      </c>
      <c r="Y10" s="1">
        <v>92.162199999999999</v>
      </c>
      <c r="Z10" s="1">
        <v>3.5829</v>
      </c>
      <c r="AA10" s="1">
        <v>5.32</v>
      </c>
      <c r="AB10" s="1">
        <v>502</v>
      </c>
      <c r="AC10" s="1">
        <v>1.2190000000000001</v>
      </c>
      <c r="AD10" s="1">
        <v>5.49</v>
      </c>
      <c r="AE10" s="1">
        <v>150.80000000000001</v>
      </c>
      <c r="AF10" s="1">
        <v>0.65893999999999986</v>
      </c>
    </row>
    <row r="11" spans="1:32" x14ac:dyDescent="0.3">
      <c r="A11" s="1" t="s">
        <v>46</v>
      </c>
      <c r="B11" s="1" t="s">
        <v>23</v>
      </c>
      <c r="C11" s="1">
        <v>2306</v>
      </c>
      <c r="D11" s="1">
        <v>16</v>
      </c>
      <c r="E11" s="1">
        <v>90</v>
      </c>
      <c r="F11" s="1">
        <v>11</v>
      </c>
      <c r="G11" s="1">
        <v>29</v>
      </c>
      <c r="H11" s="1">
        <v>2</v>
      </c>
      <c r="I11" s="1">
        <v>2</v>
      </c>
      <c r="J11" s="1">
        <v>53.56</v>
      </c>
      <c r="K11" s="1">
        <v>0.53200000000000003</v>
      </c>
      <c r="L11" s="1">
        <v>49.1</v>
      </c>
      <c r="M11" s="1">
        <v>20.988</v>
      </c>
      <c r="N11" s="1">
        <v>5.1459999999999999</v>
      </c>
      <c r="O11" s="1">
        <v>26.134</v>
      </c>
      <c r="P11" s="1">
        <v>1.121</v>
      </c>
      <c r="Q11" s="1">
        <v>0.74</v>
      </c>
      <c r="R11" s="1">
        <v>137.48660000000001</v>
      </c>
      <c r="S11" s="1">
        <v>80.626800000000003</v>
      </c>
      <c r="T11" s="1">
        <v>0.9012</v>
      </c>
      <c r="U11" s="1">
        <v>8546.3749000000007</v>
      </c>
      <c r="V11" s="1">
        <v>37.628</v>
      </c>
      <c r="W11" s="1">
        <v>0</v>
      </c>
      <c r="X11" s="1">
        <v>7.1109999999999998</v>
      </c>
      <c r="Y11" s="1">
        <v>14.8307</v>
      </c>
      <c r="Z11" s="1">
        <v>0.21079999999999999</v>
      </c>
      <c r="AA11" s="1">
        <v>4.9000000000000004</v>
      </c>
      <c r="AB11" s="1">
        <v>619</v>
      </c>
      <c r="AC11" s="1">
        <v>0.79300000000000004</v>
      </c>
      <c r="AD11" s="1">
        <v>4.21</v>
      </c>
      <c r="AE11" s="1">
        <v>140.9</v>
      </c>
      <c r="AF11" s="1">
        <v>0.52995599999999998</v>
      </c>
    </row>
    <row r="12" spans="1:32" x14ac:dyDescent="0.3">
      <c r="A12" s="1" t="s">
        <v>46</v>
      </c>
      <c r="B12" s="1" t="s">
        <v>23</v>
      </c>
      <c r="C12" s="1">
        <v>2306</v>
      </c>
      <c r="D12" s="1">
        <v>16</v>
      </c>
      <c r="E12" s="1">
        <v>90</v>
      </c>
      <c r="F12" s="1">
        <v>11</v>
      </c>
      <c r="G12" s="1">
        <v>29</v>
      </c>
      <c r="H12" s="1">
        <v>2</v>
      </c>
      <c r="I12" s="1">
        <v>2</v>
      </c>
      <c r="J12" s="1">
        <v>53.6</v>
      </c>
      <c r="K12" s="1">
        <v>0.53200000000000003</v>
      </c>
      <c r="L12" s="1">
        <v>47</v>
      </c>
      <c r="M12" s="1">
        <v>20.869</v>
      </c>
      <c r="N12" s="1">
        <v>5.2050000000000001</v>
      </c>
      <c r="O12" s="1">
        <v>26.074000000000002</v>
      </c>
      <c r="P12" s="1">
        <v>1.123</v>
      </c>
      <c r="Q12" s="1">
        <v>0.69</v>
      </c>
      <c r="R12" s="1">
        <v>164.4254</v>
      </c>
      <c r="S12" s="1">
        <v>80.911699999999996</v>
      </c>
      <c r="T12" s="1">
        <v>0.84889999999999999</v>
      </c>
      <c r="U12" s="1">
        <v>8132.8406000000004</v>
      </c>
      <c r="V12" s="1">
        <v>38.861699999999999</v>
      </c>
      <c r="W12" s="1">
        <v>0</v>
      </c>
      <c r="X12" s="1">
        <v>5.4855999999999998</v>
      </c>
      <c r="Y12" s="1">
        <v>55.085500000000003</v>
      </c>
      <c r="Z12" s="1">
        <v>0.68500000000000005</v>
      </c>
      <c r="AA12" s="1">
        <v>4.9000000000000004</v>
      </c>
      <c r="AB12" s="1">
        <v>619</v>
      </c>
      <c r="AC12" s="1">
        <v>0.82699999999999996</v>
      </c>
      <c r="AD12" s="1">
        <v>4.2699999999999996</v>
      </c>
      <c r="AE12" s="1">
        <v>126.7</v>
      </c>
      <c r="AF12" s="1">
        <v>0.63931199999999999</v>
      </c>
    </row>
    <row r="13" spans="1:32" x14ac:dyDescent="0.3">
      <c r="A13" s="1" t="s">
        <v>46</v>
      </c>
      <c r="B13" s="1" t="s">
        <v>23</v>
      </c>
      <c r="C13" s="1">
        <v>2306</v>
      </c>
      <c r="D13" s="1">
        <v>16</v>
      </c>
      <c r="E13" s="1">
        <v>90</v>
      </c>
      <c r="F13" s="1">
        <v>11</v>
      </c>
      <c r="G13" s="1">
        <v>29</v>
      </c>
      <c r="H13" s="1">
        <v>2</v>
      </c>
      <c r="I13" s="1">
        <v>2</v>
      </c>
      <c r="J13" s="1">
        <v>53.6</v>
      </c>
      <c r="K13" s="1">
        <v>0.53200000000000003</v>
      </c>
      <c r="L13" s="1">
        <v>49.3</v>
      </c>
      <c r="M13" s="1">
        <v>20.984000000000002</v>
      </c>
      <c r="N13" s="1">
        <v>4.9640000000000004</v>
      </c>
      <c r="O13" s="1">
        <v>25.949000000000002</v>
      </c>
      <c r="P13" s="1">
        <v>1.1220000000000001</v>
      </c>
      <c r="Q13" s="1">
        <v>0.73</v>
      </c>
      <c r="R13" s="1">
        <v>152.03980000000001</v>
      </c>
      <c r="S13" s="1">
        <v>80.341899999999995</v>
      </c>
      <c r="T13" s="1">
        <v>0.9012</v>
      </c>
      <c r="U13" s="1">
        <v>8386.0902999999998</v>
      </c>
      <c r="V13" s="1">
        <v>36.394300000000001</v>
      </c>
      <c r="W13" s="1">
        <v>0</v>
      </c>
      <c r="X13" s="1">
        <v>5.8918999999999997</v>
      </c>
      <c r="Y13" s="1">
        <v>70.975499999999997</v>
      </c>
      <c r="Z13" s="1">
        <v>1.3172999999999999</v>
      </c>
      <c r="AA13" s="1">
        <v>4.92</v>
      </c>
      <c r="AB13" s="1">
        <v>620</v>
      </c>
      <c r="AC13" s="1">
        <v>0.74299999999999999</v>
      </c>
      <c r="AD13" s="1">
        <v>4.37</v>
      </c>
      <c r="AE13" s="1">
        <v>191.6</v>
      </c>
      <c r="AF13" s="1">
        <v>0.73184399999999994</v>
      </c>
    </row>
    <row r="14" spans="1:32" x14ac:dyDescent="0.3">
      <c r="A14" s="1" t="s">
        <v>46</v>
      </c>
      <c r="B14" s="1" t="s">
        <v>24</v>
      </c>
      <c r="C14" s="1">
        <v>2293</v>
      </c>
      <c r="D14" s="1">
        <v>19</v>
      </c>
      <c r="E14" s="1">
        <v>45</v>
      </c>
      <c r="F14" s="1">
        <v>12</v>
      </c>
      <c r="G14" s="1">
        <v>35</v>
      </c>
      <c r="H14" s="1">
        <v>3</v>
      </c>
      <c r="I14" s="1">
        <v>1</v>
      </c>
      <c r="J14" s="1">
        <v>40.08</v>
      </c>
      <c r="K14" s="1">
        <v>0.36399999999999999</v>
      </c>
      <c r="L14" s="1">
        <v>45</v>
      </c>
      <c r="M14" s="1">
        <v>18.576000000000001</v>
      </c>
      <c r="N14" s="1">
        <v>3.452</v>
      </c>
      <c r="O14" s="1">
        <v>22.027999999999999</v>
      </c>
      <c r="P14" s="1">
        <v>0.91600000000000004</v>
      </c>
      <c r="Q14" s="1">
        <v>0.72</v>
      </c>
      <c r="R14" s="1">
        <v>147.8596</v>
      </c>
      <c r="S14" s="1">
        <v>71.225099999999998</v>
      </c>
      <c r="T14" s="1">
        <v>0.28660000000000002</v>
      </c>
      <c r="U14" s="1">
        <v>11518.0514</v>
      </c>
      <c r="V14" s="1">
        <v>78.957099999999997</v>
      </c>
      <c r="W14" s="1">
        <v>0</v>
      </c>
      <c r="X14" s="1">
        <v>16.6599</v>
      </c>
      <c r="Y14" s="1">
        <v>68.856800000000007</v>
      </c>
      <c r="Z14" s="1">
        <v>2.9506000000000001</v>
      </c>
      <c r="AA14" s="1">
        <v>5.12</v>
      </c>
      <c r="AB14" s="1">
        <v>512</v>
      </c>
      <c r="AC14" s="1">
        <v>0.59699999999999998</v>
      </c>
      <c r="AD14" s="1">
        <v>4.5599999999999996</v>
      </c>
      <c r="AE14" s="1">
        <v>226</v>
      </c>
      <c r="AF14" s="1">
        <v>0.81876799999999983</v>
      </c>
    </row>
    <row r="15" spans="1:32" x14ac:dyDescent="0.3">
      <c r="A15" s="1" t="s">
        <v>46</v>
      </c>
      <c r="B15" s="1" t="s">
        <v>24</v>
      </c>
      <c r="C15" s="1">
        <v>2293</v>
      </c>
      <c r="D15" s="1">
        <v>19</v>
      </c>
      <c r="E15" s="1">
        <v>45</v>
      </c>
      <c r="F15" s="1">
        <v>12</v>
      </c>
      <c r="G15" s="1">
        <v>35</v>
      </c>
      <c r="H15" s="1">
        <v>3</v>
      </c>
      <c r="I15" s="1">
        <v>1</v>
      </c>
      <c r="J15" s="1">
        <v>40.4</v>
      </c>
      <c r="K15" s="1">
        <v>0.38100000000000001</v>
      </c>
      <c r="L15" s="1">
        <v>46.1</v>
      </c>
      <c r="M15" s="1">
        <v>18.585000000000001</v>
      </c>
      <c r="N15" s="1">
        <v>3.6080000000000001</v>
      </c>
      <c r="O15" s="1">
        <v>22.193000000000001</v>
      </c>
      <c r="P15" s="1">
        <v>0.89500000000000002</v>
      </c>
      <c r="Q15" s="1">
        <v>0.7</v>
      </c>
      <c r="R15" s="1">
        <v>147.70480000000001</v>
      </c>
      <c r="S15" s="1">
        <v>71.794899999999998</v>
      </c>
      <c r="T15" s="1">
        <v>0.74429999999999996</v>
      </c>
      <c r="U15" s="1">
        <v>13867.8236</v>
      </c>
      <c r="V15" s="1">
        <v>65.0779</v>
      </c>
      <c r="W15" s="1">
        <v>0</v>
      </c>
      <c r="X15" s="1">
        <v>18.082100000000001</v>
      </c>
      <c r="Y15" s="1">
        <v>74.153499999999994</v>
      </c>
      <c r="Z15" s="1">
        <v>2.6345000000000001</v>
      </c>
      <c r="AA15" s="1">
        <v>5.0999999999999996</v>
      </c>
      <c r="AB15" s="1">
        <v>510</v>
      </c>
      <c r="AC15" s="1">
        <v>0.58299999999999996</v>
      </c>
      <c r="AD15" s="1">
        <v>4.5</v>
      </c>
      <c r="AE15" s="1">
        <v>232</v>
      </c>
      <c r="AF15" s="1">
        <v>0.81876799999999983</v>
      </c>
    </row>
    <row r="16" spans="1:32" x14ac:dyDescent="0.3">
      <c r="A16" s="1" t="s">
        <v>46</v>
      </c>
      <c r="B16" s="1" t="s">
        <v>24</v>
      </c>
      <c r="C16" s="1">
        <v>2293</v>
      </c>
      <c r="D16" s="1">
        <v>19</v>
      </c>
      <c r="E16" s="1">
        <v>45</v>
      </c>
      <c r="F16" s="1">
        <v>12</v>
      </c>
      <c r="G16" s="1">
        <v>35</v>
      </c>
      <c r="H16" s="1">
        <v>3</v>
      </c>
      <c r="I16" s="1">
        <v>1</v>
      </c>
      <c r="J16" s="1">
        <v>40.44</v>
      </c>
      <c r="K16" s="1">
        <v>0.40100000000000002</v>
      </c>
      <c r="L16" s="1">
        <v>45.9</v>
      </c>
      <c r="M16" s="1">
        <v>19.052</v>
      </c>
      <c r="N16" s="1">
        <v>2.62</v>
      </c>
      <c r="O16" s="1">
        <v>21.672000000000001</v>
      </c>
      <c r="P16" s="1">
        <v>0.88100000000000001</v>
      </c>
      <c r="Q16" s="1">
        <v>0.70199999999999996</v>
      </c>
      <c r="R16" s="1">
        <v>147.70480000000001</v>
      </c>
      <c r="S16" s="1">
        <v>72.079800000000006</v>
      </c>
      <c r="T16" s="1">
        <v>1.0049999999999999</v>
      </c>
      <c r="U16" s="1">
        <v>13223.479499999999</v>
      </c>
      <c r="V16" s="1">
        <v>78.648600000000002</v>
      </c>
      <c r="W16" s="1">
        <v>0</v>
      </c>
      <c r="X16" s="1">
        <v>17.879000000000001</v>
      </c>
      <c r="Y16" s="1">
        <v>76.272199999999998</v>
      </c>
      <c r="Z16" s="1">
        <v>2.2130000000000001</v>
      </c>
      <c r="AA16" s="1">
        <v>5.09</v>
      </c>
      <c r="AB16" s="1">
        <v>510</v>
      </c>
      <c r="AC16" s="1">
        <v>0.60099999999999998</v>
      </c>
      <c r="AD16" s="1">
        <v>4.5199999999999996</v>
      </c>
      <c r="AE16" s="1">
        <v>239</v>
      </c>
      <c r="AF16" s="1">
        <v>0.85802400000000001</v>
      </c>
    </row>
    <row r="17" spans="1:32" x14ac:dyDescent="0.3">
      <c r="A17" s="1" t="s">
        <v>46</v>
      </c>
      <c r="B17" s="1" t="s">
        <v>25</v>
      </c>
      <c r="C17" s="1">
        <v>2296</v>
      </c>
      <c r="D17" s="1">
        <v>75</v>
      </c>
      <c r="E17" s="1">
        <v>35</v>
      </c>
      <c r="F17" s="1">
        <v>16</v>
      </c>
      <c r="G17" s="1">
        <v>34</v>
      </c>
      <c r="H17" s="1">
        <v>3</v>
      </c>
      <c r="I17" s="1">
        <v>2</v>
      </c>
      <c r="J17" s="1">
        <v>51.96</v>
      </c>
      <c r="K17" s="1">
        <v>0.50600000000000001</v>
      </c>
      <c r="L17" s="1">
        <v>57.2</v>
      </c>
      <c r="M17" s="1">
        <v>19.710999999999999</v>
      </c>
      <c r="N17" s="1">
        <v>1.0089999999999999</v>
      </c>
      <c r="O17" s="1">
        <v>20.72</v>
      </c>
      <c r="P17" s="1">
        <v>0.96099999999999997</v>
      </c>
      <c r="Q17" s="1">
        <v>0.68</v>
      </c>
      <c r="R17" s="1">
        <v>300.66129999999998</v>
      </c>
      <c r="S17" s="1">
        <v>64.102599999999995</v>
      </c>
      <c r="T17" s="1">
        <v>0.40429999999999999</v>
      </c>
      <c r="U17" s="1">
        <v>6866.5923000000003</v>
      </c>
      <c r="V17" s="1">
        <v>50.581899999999997</v>
      </c>
      <c r="W17" s="1">
        <v>0</v>
      </c>
      <c r="X17" s="1">
        <v>15.440899999999999</v>
      </c>
      <c r="Y17" s="1">
        <v>13.7714</v>
      </c>
      <c r="Z17" s="1">
        <v>0.73770000000000002</v>
      </c>
      <c r="AA17" s="1">
        <v>5.22</v>
      </c>
      <c r="AB17" s="1">
        <v>518</v>
      </c>
      <c r="AC17" s="1">
        <v>0.48299999999999998</v>
      </c>
      <c r="AD17" s="1">
        <v>4.25</v>
      </c>
      <c r="AE17" s="1">
        <v>113.3</v>
      </c>
      <c r="AF17" s="1">
        <v>0.45424799999999993</v>
      </c>
    </row>
    <row r="18" spans="1:32" x14ac:dyDescent="0.3">
      <c r="A18" s="1" t="s">
        <v>46</v>
      </c>
      <c r="B18" s="1" t="s">
        <v>25</v>
      </c>
      <c r="C18" s="1">
        <v>2296</v>
      </c>
      <c r="D18" s="1">
        <v>75</v>
      </c>
      <c r="E18" s="1">
        <v>35</v>
      </c>
      <c r="F18" s="1">
        <v>16</v>
      </c>
      <c r="G18" s="1">
        <v>34</v>
      </c>
      <c r="H18" s="1">
        <v>3</v>
      </c>
      <c r="I18" s="1">
        <v>2</v>
      </c>
      <c r="J18" s="1">
        <v>52.4</v>
      </c>
      <c r="K18" s="1">
        <v>0.504</v>
      </c>
      <c r="L18" s="1">
        <v>58</v>
      </c>
      <c r="M18" s="1">
        <v>19.695</v>
      </c>
      <c r="N18" s="1">
        <v>1.155</v>
      </c>
      <c r="O18" s="1">
        <v>20.849</v>
      </c>
      <c r="P18" s="1">
        <v>0.96199999999999997</v>
      </c>
      <c r="Q18" s="1">
        <v>0.67</v>
      </c>
      <c r="R18" s="1">
        <v>305.77640000000002</v>
      </c>
      <c r="S18" s="1">
        <v>64.387500000000003</v>
      </c>
      <c r="T18" s="1">
        <v>0.40429999999999999</v>
      </c>
      <c r="U18" s="1">
        <v>7020.4655000000002</v>
      </c>
      <c r="V18" s="1">
        <v>50.273400000000002</v>
      </c>
      <c r="W18" s="1">
        <v>0</v>
      </c>
      <c r="X18" s="1">
        <v>14.8314</v>
      </c>
      <c r="Y18" s="1">
        <v>34.958100000000002</v>
      </c>
      <c r="Z18" s="1">
        <v>1.0011000000000001</v>
      </c>
      <c r="AA18" s="1">
        <v>5.22</v>
      </c>
      <c r="AB18" s="1">
        <v>511</v>
      </c>
      <c r="AC18" s="1">
        <v>0.54600000000000004</v>
      </c>
      <c r="AD18" s="1">
        <v>5.42</v>
      </c>
      <c r="AE18" s="1">
        <v>127.6</v>
      </c>
      <c r="AF18" s="1">
        <v>0.37012799999999996</v>
      </c>
    </row>
    <row r="19" spans="1:32" x14ac:dyDescent="0.3">
      <c r="A19" s="1" t="s">
        <v>46</v>
      </c>
      <c r="B19" s="1" t="s">
        <v>25</v>
      </c>
      <c r="C19" s="1">
        <v>2296</v>
      </c>
      <c r="D19" s="1">
        <v>75</v>
      </c>
      <c r="E19" s="1">
        <v>35</v>
      </c>
      <c r="F19" s="1">
        <v>16</v>
      </c>
      <c r="G19" s="1">
        <v>34</v>
      </c>
      <c r="H19" s="1">
        <v>3</v>
      </c>
      <c r="I19" s="1">
        <v>2</v>
      </c>
      <c r="J19" s="1">
        <v>52.04</v>
      </c>
      <c r="K19" s="1">
        <v>0.50700000000000001</v>
      </c>
      <c r="L19" s="1">
        <v>58.2</v>
      </c>
      <c r="M19" s="1">
        <v>19.646000000000001</v>
      </c>
      <c r="N19" s="1">
        <v>1.0640000000000001</v>
      </c>
      <c r="O19" s="1">
        <v>20.71</v>
      </c>
      <c r="P19" s="1">
        <v>0.96199999999999997</v>
      </c>
      <c r="Q19" s="1">
        <v>0.65</v>
      </c>
      <c r="R19" s="1">
        <v>309.64690000000002</v>
      </c>
      <c r="S19" s="1">
        <v>62.963000000000001</v>
      </c>
      <c r="T19" s="1">
        <v>0.53510000000000002</v>
      </c>
      <c r="U19" s="1">
        <v>6706.3077000000003</v>
      </c>
      <c r="V19" s="1">
        <v>48.731299999999997</v>
      </c>
      <c r="W19" s="1">
        <v>0</v>
      </c>
      <c r="X19" s="1">
        <v>14.6282</v>
      </c>
      <c r="Y19" s="1">
        <v>45.551400000000001</v>
      </c>
      <c r="Z19" s="1">
        <v>0.42149999999999999</v>
      </c>
      <c r="AA19" s="1">
        <v>5.28</v>
      </c>
      <c r="AB19" s="1">
        <v>513</v>
      </c>
      <c r="AC19" s="1">
        <v>0.51800000000000002</v>
      </c>
      <c r="AD19" s="1">
        <v>3.93</v>
      </c>
      <c r="AE19" s="1">
        <v>127.8</v>
      </c>
      <c r="AF19" s="1">
        <v>0.46265999999999996</v>
      </c>
    </row>
    <row r="20" spans="1:32" x14ac:dyDescent="0.3">
      <c r="A20" s="1" t="s">
        <v>46</v>
      </c>
      <c r="B20" s="1" t="s">
        <v>26</v>
      </c>
      <c r="C20" s="1">
        <v>2395</v>
      </c>
      <c r="D20" s="1">
        <v>37</v>
      </c>
      <c r="E20" s="1">
        <v>50</v>
      </c>
      <c r="F20" s="1">
        <v>8</v>
      </c>
      <c r="G20" s="1">
        <v>42</v>
      </c>
      <c r="H20" s="1">
        <v>2</v>
      </c>
      <c r="I20" s="1">
        <v>1</v>
      </c>
      <c r="J20" s="1">
        <v>58.2</v>
      </c>
      <c r="K20" s="1">
        <v>0.92900000000000005</v>
      </c>
      <c r="L20" s="1">
        <v>32.200000000000003</v>
      </c>
      <c r="M20" s="1">
        <v>2.8170000000000002</v>
      </c>
      <c r="N20" s="1">
        <v>20.03</v>
      </c>
      <c r="O20" s="1">
        <v>28.847000000000001</v>
      </c>
      <c r="P20" s="1">
        <v>0.875</v>
      </c>
      <c r="Q20" s="1">
        <v>0.7</v>
      </c>
      <c r="R20" s="1">
        <v>143.98910000000001</v>
      </c>
      <c r="S20" s="1">
        <v>52.046799999999998</v>
      </c>
      <c r="T20" s="1">
        <v>0.41739999999999999</v>
      </c>
      <c r="U20" s="1">
        <v>2134.9908999999998</v>
      </c>
      <c r="V20" s="1">
        <v>7.0937999999999999</v>
      </c>
      <c r="W20" s="1">
        <v>0</v>
      </c>
      <c r="X20" s="1">
        <v>1.4221999999999999</v>
      </c>
      <c r="Y20" s="1">
        <v>77.331500000000005</v>
      </c>
      <c r="Z20" s="1">
        <v>1.3172999999999999</v>
      </c>
      <c r="AA20" s="1">
        <v>4.9000000000000004</v>
      </c>
      <c r="AB20" s="1">
        <v>612</v>
      </c>
      <c r="AC20" s="1">
        <v>1.0229999999999999</v>
      </c>
      <c r="AD20" s="1">
        <v>5.65</v>
      </c>
      <c r="AE20" s="1">
        <v>173</v>
      </c>
      <c r="AF20" s="1">
        <v>0.86643599999999987</v>
      </c>
    </row>
    <row r="21" spans="1:32" x14ac:dyDescent="0.3">
      <c r="A21" s="1" t="s">
        <v>46</v>
      </c>
      <c r="B21" s="1" t="s">
        <v>26</v>
      </c>
      <c r="C21" s="1">
        <v>2395</v>
      </c>
      <c r="D21" s="1">
        <v>37</v>
      </c>
      <c r="E21" s="1">
        <v>50</v>
      </c>
      <c r="F21" s="1">
        <v>8</v>
      </c>
      <c r="G21" s="1">
        <v>42</v>
      </c>
      <c r="H21" s="1">
        <v>2</v>
      </c>
      <c r="I21" s="1">
        <v>1</v>
      </c>
      <c r="J21" s="1">
        <v>58.32</v>
      </c>
      <c r="K21" s="1">
        <v>0.92500000000000004</v>
      </c>
      <c r="L21" s="1">
        <v>32</v>
      </c>
      <c r="M21" s="1">
        <v>8.8019999999999996</v>
      </c>
      <c r="N21" s="1">
        <v>19.969000000000001</v>
      </c>
      <c r="O21" s="1">
        <v>28.771000000000001</v>
      </c>
      <c r="P21" s="1">
        <v>0.86599999999999999</v>
      </c>
      <c r="Q21" s="1">
        <v>0.67</v>
      </c>
      <c r="R21" s="1">
        <v>156.52959999999999</v>
      </c>
      <c r="S21" s="1">
        <v>52.046799999999998</v>
      </c>
      <c r="T21" s="1">
        <v>0.45660000000000001</v>
      </c>
      <c r="U21" s="1">
        <v>2077.2883999999999</v>
      </c>
      <c r="V21" s="1">
        <v>8.3275000000000006</v>
      </c>
      <c r="W21" s="1">
        <v>0</v>
      </c>
      <c r="X21" s="1">
        <v>0.81269999999999998</v>
      </c>
      <c r="Y21" s="1">
        <v>76.272199999999998</v>
      </c>
      <c r="Z21" s="1">
        <v>0.63229999999999997</v>
      </c>
      <c r="AA21" s="1">
        <v>4.9000000000000004</v>
      </c>
      <c r="AB21" s="1">
        <v>602</v>
      </c>
      <c r="AC21" s="1">
        <v>0.95299999999999996</v>
      </c>
      <c r="AD21" s="1">
        <v>7.43</v>
      </c>
      <c r="AE21" s="1">
        <v>176.3</v>
      </c>
      <c r="AF21" s="1">
        <v>0.5439759999999999</v>
      </c>
    </row>
    <row r="22" spans="1:32" x14ac:dyDescent="0.3">
      <c r="A22" s="1" t="s">
        <v>46</v>
      </c>
      <c r="B22" s="1" t="s">
        <v>26</v>
      </c>
      <c r="C22" s="1">
        <v>2395</v>
      </c>
      <c r="D22" s="1">
        <v>37</v>
      </c>
      <c r="E22" s="1">
        <v>50</v>
      </c>
      <c r="F22" s="1">
        <v>8</v>
      </c>
      <c r="G22" s="1">
        <v>42</v>
      </c>
      <c r="H22" s="1">
        <v>2</v>
      </c>
      <c r="I22" s="1">
        <v>1</v>
      </c>
      <c r="J22" s="1">
        <v>58.76</v>
      </c>
      <c r="K22" s="1">
        <v>0.92900000000000005</v>
      </c>
      <c r="L22" s="1">
        <v>32</v>
      </c>
      <c r="M22" s="1">
        <v>8.8710000000000004</v>
      </c>
      <c r="N22" s="1">
        <v>20.026</v>
      </c>
      <c r="O22" s="1">
        <v>28.896999999999998</v>
      </c>
      <c r="P22" s="1">
        <v>0.873</v>
      </c>
      <c r="Q22" s="1">
        <v>0.66</v>
      </c>
      <c r="R22" s="1">
        <v>157.61330000000001</v>
      </c>
      <c r="S22" s="1">
        <v>51.754399999999997</v>
      </c>
      <c r="T22" s="1">
        <v>0.53510000000000002</v>
      </c>
      <c r="U22" s="1">
        <v>1862.5071</v>
      </c>
      <c r="V22" s="1">
        <v>9.2528000000000006</v>
      </c>
      <c r="W22" s="1">
        <v>0</v>
      </c>
      <c r="X22" s="1">
        <v>2.0316999999999998</v>
      </c>
      <c r="Y22" s="1">
        <v>55.085500000000003</v>
      </c>
      <c r="Z22" s="1">
        <v>0.31609999999999999</v>
      </c>
      <c r="AA22" s="1">
        <v>4.7</v>
      </c>
      <c r="AB22" s="1">
        <v>609</v>
      </c>
      <c r="AC22" s="1">
        <v>1.0649999999999999</v>
      </c>
      <c r="AD22" s="1">
        <v>5.63</v>
      </c>
      <c r="AE22" s="1">
        <v>138</v>
      </c>
      <c r="AF22" s="1">
        <v>0.60005599999999992</v>
      </c>
    </row>
    <row r="23" spans="1:32" x14ac:dyDescent="0.3">
      <c r="A23" s="1" t="s">
        <v>46</v>
      </c>
      <c r="B23" s="1" t="s">
        <v>27</v>
      </c>
      <c r="C23" s="1">
        <v>2394</v>
      </c>
      <c r="D23" s="1">
        <v>15</v>
      </c>
      <c r="E23" s="1">
        <v>25</v>
      </c>
      <c r="F23" s="1">
        <v>5</v>
      </c>
      <c r="G23" s="1">
        <v>43</v>
      </c>
      <c r="H23" s="1">
        <v>2</v>
      </c>
      <c r="I23" s="1">
        <v>2</v>
      </c>
      <c r="J23" s="1">
        <v>40.24</v>
      </c>
      <c r="K23" s="1">
        <v>0.45700000000000002</v>
      </c>
      <c r="L23" s="1">
        <v>30</v>
      </c>
      <c r="M23" s="1">
        <v>16.626999999999999</v>
      </c>
      <c r="N23" s="1">
        <v>6.0919999999999996</v>
      </c>
      <c r="O23" s="1">
        <v>22.719000000000001</v>
      </c>
      <c r="P23" s="1">
        <v>0.92</v>
      </c>
      <c r="Q23" s="1">
        <v>0.65</v>
      </c>
      <c r="R23" s="1">
        <v>167.9863</v>
      </c>
      <c r="S23" s="1">
        <v>64.327500000000001</v>
      </c>
      <c r="T23" s="1">
        <v>0.9012</v>
      </c>
      <c r="U23" s="1">
        <v>7241.6581999999999</v>
      </c>
      <c r="V23" s="1">
        <v>89.4435</v>
      </c>
      <c r="W23" s="1">
        <v>0</v>
      </c>
      <c r="X23" s="1">
        <v>18.082100000000001</v>
      </c>
      <c r="Y23" s="1">
        <v>59.322800000000001</v>
      </c>
      <c r="Z23" s="1">
        <v>2.7399</v>
      </c>
      <c r="AA23" s="1">
        <v>5</v>
      </c>
      <c r="AB23" s="1">
        <v>596</v>
      </c>
      <c r="AC23" s="1">
        <v>0.98099999999999998</v>
      </c>
      <c r="AD23" s="1">
        <v>6.1</v>
      </c>
      <c r="AE23" s="1">
        <v>202</v>
      </c>
      <c r="AF23" s="1">
        <v>0.57762400000000003</v>
      </c>
    </row>
    <row r="24" spans="1:32" x14ac:dyDescent="0.3">
      <c r="A24" s="1" t="s">
        <v>46</v>
      </c>
      <c r="B24" s="1" t="s">
        <v>27</v>
      </c>
      <c r="C24" s="1">
        <v>2394</v>
      </c>
      <c r="D24" s="1">
        <v>15</v>
      </c>
      <c r="E24" s="1">
        <v>25</v>
      </c>
      <c r="F24" s="1">
        <v>5</v>
      </c>
      <c r="G24" s="1">
        <v>43</v>
      </c>
      <c r="H24" s="1">
        <v>2</v>
      </c>
      <c r="I24" s="1">
        <v>2</v>
      </c>
      <c r="J24" s="1">
        <v>40.36</v>
      </c>
      <c r="K24" s="1">
        <v>0.44800000000000001</v>
      </c>
      <c r="L24" s="1">
        <v>32.6</v>
      </c>
      <c r="M24" s="1">
        <v>16.036000000000001</v>
      </c>
      <c r="N24" s="1">
        <v>7.234</v>
      </c>
      <c r="O24" s="1">
        <v>23.268999999999998</v>
      </c>
      <c r="P24" s="1">
        <v>0.95699999999999996</v>
      </c>
      <c r="Q24" s="1">
        <v>0.68</v>
      </c>
      <c r="R24" s="1">
        <v>167.52180000000001</v>
      </c>
      <c r="S24" s="1">
        <v>64.0351</v>
      </c>
      <c r="T24" s="1">
        <v>0.9012</v>
      </c>
      <c r="U24" s="1">
        <v>6953.1459000000004</v>
      </c>
      <c r="V24" s="1">
        <v>89.751999999999995</v>
      </c>
      <c r="W24" s="1">
        <v>0</v>
      </c>
      <c r="X24" s="1">
        <v>17.879000000000001</v>
      </c>
      <c r="Y24" s="1">
        <v>63.560200000000002</v>
      </c>
      <c r="Z24" s="1">
        <v>2.0548999999999999</v>
      </c>
      <c r="AA24" s="1">
        <v>5.0999999999999996</v>
      </c>
      <c r="AB24" s="1">
        <v>592</v>
      </c>
      <c r="AC24" s="1">
        <v>0.98099999999999998</v>
      </c>
      <c r="AD24" s="1">
        <v>6.23</v>
      </c>
      <c r="AE24" s="1">
        <v>212</v>
      </c>
      <c r="AF24" s="1">
        <v>0.63090000000000002</v>
      </c>
    </row>
    <row r="25" spans="1:32" x14ac:dyDescent="0.3">
      <c r="A25" s="1" t="s">
        <v>46</v>
      </c>
      <c r="B25" s="1" t="s">
        <v>27</v>
      </c>
      <c r="C25" s="1">
        <v>2394</v>
      </c>
      <c r="D25" s="1">
        <v>15</v>
      </c>
      <c r="E25" s="1">
        <v>25</v>
      </c>
      <c r="F25" s="1">
        <v>5</v>
      </c>
      <c r="G25" s="1">
        <v>43</v>
      </c>
      <c r="H25" s="1">
        <v>2</v>
      </c>
      <c r="I25" s="1">
        <v>2</v>
      </c>
      <c r="J25" s="1">
        <v>40.24</v>
      </c>
      <c r="K25" s="1">
        <v>0.443</v>
      </c>
      <c r="L25" s="1">
        <v>30.5</v>
      </c>
      <c r="M25" s="1">
        <v>16.263000000000002</v>
      </c>
      <c r="N25" s="1">
        <v>7.2359999999999998</v>
      </c>
      <c r="O25" s="1">
        <v>23.498999999999999</v>
      </c>
      <c r="P25" s="1">
        <v>0.93300000000000005</v>
      </c>
      <c r="Q25" s="1">
        <v>0.68799999999999994</v>
      </c>
      <c r="R25" s="1">
        <v>167.67660000000001</v>
      </c>
      <c r="S25" s="1">
        <v>61.988300000000002</v>
      </c>
      <c r="T25" s="1">
        <v>0.8619</v>
      </c>
      <c r="U25" s="1">
        <v>7055.7281000000003</v>
      </c>
      <c r="V25" s="1">
        <v>80.190799999999996</v>
      </c>
      <c r="W25" s="1">
        <v>0</v>
      </c>
      <c r="X25" s="1">
        <v>18.082100000000001</v>
      </c>
      <c r="Y25" s="1">
        <v>64.619500000000002</v>
      </c>
      <c r="Z25" s="1">
        <v>1.6860999999999999</v>
      </c>
      <c r="AA25" s="1">
        <v>5.12</v>
      </c>
      <c r="AB25" s="1">
        <v>592</v>
      </c>
      <c r="AC25" s="1">
        <v>0.998</v>
      </c>
      <c r="AD25" s="1">
        <v>6.11</v>
      </c>
      <c r="AE25" s="1">
        <v>214</v>
      </c>
      <c r="AF25" s="1">
        <v>0.63090000000000002</v>
      </c>
    </row>
    <row r="26" spans="1:32" x14ac:dyDescent="0.3">
      <c r="A26" s="1" t="s">
        <v>46</v>
      </c>
      <c r="B26" s="1" t="s">
        <v>28</v>
      </c>
      <c r="C26" s="1">
        <v>2407</v>
      </c>
      <c r="D26" s="1">
        <v>20</v>
      </c>
      <c r="E26" s="1">
        <v>30</v>
      </c>
      <c r="F26" s="1">
        <v>8</v>
      </c>
      <c r="G26" s="1">
        <v>36</v>
      </c>
      <c r="H26" s="1">
        <v>2</v>
      </c>
      <c r="I26" s="1">
        <v>2</v>
      </c>
      <c r="J26" s="1">
        <v>45.36</v>
      </c>
      <c r="K26" s="1">
        <v>0.68600000000000005</v>
      </c>
      <c r="L26" s="1">
        <v>70.7</v>
      </c>
      <c r="M26" s="1">
        <v>27.632000000000001</v>
      </c>
      <c r="N26" s="1">
        <v>10.039999999999999</v>
      </c>
      <c r="O26" s="1">
        <v>37.671999999999997</v>
      </c>
      <c r="P26" s="1">
        <v>1.036</v>
      </c>
      <c r="Q26" s="1">
        <v>0.59</v>
      </c>
      <c r="R26" s="1">
        <v>126.64919999999999</v>
      </c>
      <c r="S26" s="1">
        <v>80.701800000000006</v>
      </c>
      <c r="T26" s="1">
        <v>0.49580000000000002</v>
      </c>
      <c r="U26" s="1">
        <v>4891.8860000000004</v>
      </c>
      <c r="V26" s="1">
        <v>24.3657</v>
      </c>
      <c r="W26" s="1">
        <v>0</v>
      </c>
      <c r="X26" s="1">
        <v>13.0029</v>
      </c>
      <c r="Y26" s="1">
        <v>69.916200000000003</v>
      </c>
      <c r="Z26" s="1">
        <v>1.528</v>
      </c>
      <c r="AA26" s="1">
        <v>5.01</v>
      </c>
      <c r="AB26" s="1">
        <v>577</v>
      </c>
      <c r="AC26" s="1">
        <v>0.96699999999999997</v>
      </c>
      <c r="AD26" s="1">
        <v>6.42</v>
      </c>
      <c r="AE26" s="1">
        <v>195.9</v>
      </c>
      <c r="AF26" s="1">
        <v>0.56079999999999997</v>
      </c>
    </row>
    <row r="27" spans="1:32" x14ac:dyDescent="0.3">
      <c r="A27" s="1" t="s">
        <v>46</v>
      </c>
      <c r="B27" s="1" t="s">
        <v>28</v>
      </c>
      <c r="C27" s="1">
        <v>2407</v>
      </c>
      <c r="D27" s="1">
        <v>20</v>
      </c>
      <c r="E27" s="1">
        <v>30</v>
      </c>
      <c r="F27" s="1">
        <v>8</v>
      </c>
      <c r="G27" s="1">
        <v>36</v>
      </c>
      <c r="H27" s="1">
        <v>2</v>
      </c>
      <c r="I27" s="1">
        <v>2</v>
      </c>
      <c r="J27" s="1">
        <v>43.2</v>
      </c>
      <c r="K27" s="1">
        <v>0.68600000000000005</v>
      </c>
      <c r="L27" s="1">
        <v>73</v>
      </c>
      <c r="M27" s="1">
        <v>27.524000000000001</v>
      </c>
      <c r="N27" s="1">
        <v>10.048</v>
      </c>
      <c r="O27" s="1">
        <v>37.572000000000003</v>
      </c>
      <c r="P27" s="1">
        <v>1.038</v>
      </c>
      <c r="Q27" s="1">
        <v>0.65</v>
      </c>
      <c r="R27" s="1">
        <v>137.9511</v>
      </c>
      <c r="S27" s="1">
        <v>79.532200000000003</v>
      </c>
      <c r="T27" s="1">
        <v>0.58740000000000003</v>
      </c>
      <c r="U27" s="1">
        <v>5007.2909</v>
      </c>
      <c r="V27" s="1">
        <v>24.3657</v>
      </c>
      <c r="W27" s="1">
        <v>0</v>
      </c>
      <c r="X27" s="1">
        <v>13.8156</v>
      </c>
      <c r="Y27" s="1">
        <v>24.364699999999999</v>
      </c>
      <c r="Z27" s="1">
        <v>0.52690000000000003</v>
      </c>
      <c r="AA27" s="1">
        <v>5.12</v>
      </c>
      <c r="AB27" s="1">
        <v>572</v>
      </c>
      <c r="AC27" s="1">
        <v>0.92500000000000004</v>
      </c>
      <c r="AD27" s="1">
        <v>6.61</v>
      </c>
      <c r="AE27" s="1">
        <v>152</v>
      </c>
      <c r="AF27" s="1">
        <v>0.33647999999999995</v>
      </c>
    </row>
    <row r="28" spans="1:32" x14ac:dyDescent="0.3">
      <c r="A28" s="1" t="s">
        <v>46</v>
      </c>
      <c r="B28" s="1" t="s">
        <v>28</v>
      </c>
      <c r="C28" s="1">
        <v>2407</v>
      </c>
      <c r="D28" s="1">
        <v>20</v>
      </c>
      <c r="E28" s="1">
        <v>30</v>
      </c>
      <c r="F28" s="1">
        <v>8</v>
      </c>
      <c r="G28" s="1">
        <v>36</v>
      </c>
      <c r="H28" s="1">
        <v>2</v>
      </c>
      <c r="I28" s="1">
        <v>2</v>
      </c>
      <c r="J28" s="1">
        <v>47.6</v>
      </c>
      <c r="K28" s="1">
        <v>0.69099999999999995</v>
      </c>
      <c r="L28" s="1">
        <v>74.599999999999994</v>
      </c>
      <c r="M28" s="1">
        <v>27.396999999999998</v>
      </c>
      <c r="N28" s="1">
        <v>9.8810000000000002</v>
      </c>
      <c r="O28" s="1">
        <v>37.277999999999999</v>
      </c>
      <c r="P28" s="1">
        <v>1.028</v>
      </c>
      <c r="Q28" s="1">
        <v>0.68799999999999994</v>
      </c>
      <c r="R28" s="1">
        <v>140.4282</v>
      </c>
      <c r="S28" s="1">
        <v>79.532200000000003</v>
      </c>
      <c r="T28" s="1">
        <v>0.65269999999999995</v>
      </c>
      <c r="U28" s="1">
        <v>4568.1111000000001</v>
      </c>
      <c r="V28" s="1">
        <v>23.4404</v>
      </c>
      <c r="W28" s="1">
        <v>0</v>
      </c>
      <c r="X28" s="1">
        <v>14.2219</v>
      </c>
      <c r="Y28" s="1">
        <v>39.195399999999999</v>
      </c>
      <c r="Z28" s="1">
        <v>3.056</v>
      </c>
      <c r="AA28" s="1">
        <v>5.12</v>
      </c>
      <c r="AB28" s="1">
        <v>573</v>
      </c>
      <c r="AC28" s="1">
        <v>1.0089999999999999</v>
      </c>
      <c r="AD28" s="1">
        <v>6.71</v>
      </c>
      <c r="AE28" s="1">
        <v>188.5</v>
      </c>
      <c r="AF28" s="1">
        <v>0.58323199999999997</v>
      </c>
    </row>
    <row r="29" spans="1:32" x14ac:dyDescent="0.3">
      <c r="A29" s="1" t="s">
        <v>46</v>
      </c>
      <c r="B29" s="1" t="s">
        <v>29</v>
      </c>
      <c r="C29" s="1">
        <v>2458</v>
      </c>
      <c r="D29" s="1">
        <v>15</v>
      </c>
      <c r="E29" s="1">
        <v>75</v>
      </c>
      <c r="F29" s="1">
        <v>6</v>
      </c>
      <c r="G29" s="1">
        <v>55</v>
      </c>
      <c r="H29" s="1">
        <v>2</v>
      </c>
      <c r="I29" s="1">
        <v>1</v>
      </c>
      <c r="J29" s="1">
        <v>44.44</v>
      </c>
      <c r="K29" s="1">
        <v>0.54600000000000004</v>
      </c>
      <c r="L29" s="1">
        <v>35.6</v>
      </c>
      <c r="M29" s="1">
        <v>27.596</v>
      </c>
      <c r="N29" s="1">
        <v>6.71</v>
      </c>
      <c r="O29" s="1">
        <v>34.305999999999997</v>
      </c>
      <c r="P29" s="1">
        <v>1.2130000000000001</v>
      </c>
      <c r="Q29" s="1">
        <v>0.63</v>
      </c>
      <c r="R29" s="1">
        <v>165.9736</v>
      </c>
      <c r="S29" s="1">
        <v>70.467799999999997</v>
      </c>
      <c r="T29" s="1">
        <v>0.312</v>
      </c>
      <c r="U29" s="1">
        <v>8065.5210999999999</v>
      </c>
      <c r="V29" s="1">
        <v>107.9491</v>
      </c>
      <c r="W29" s="1">
        <v>0</v>
      </c>
      <c r="X29" s="1">
        <v>11.3775</v>
      </c>
      <c r="Y29" s="1">
        <v>55.085500000000003</v>
      </c>
      <c r="Z29" s="1">
        <v>2.2130000000000001</v>
      </c>
      <c r="AA29" s="1">
        <v>4.92</v>
      </c>
      <c r="AB29" s="1">
        <v>488</v>
      </c>
      <c r="AC29" s="1">
        <v>1.0089999999999999</v>
      </c>
      <c r="AD29" s="1">
        <v>5.99</v>
      </c>
      <c r="AE29" s="1">
        <v>256.60000000000002</v>
      </c>
      <c r="AF29" s="1">
        <v>0.35891200000000001</v>
      </c>
    </row>
    <row r="30" spans="1:32" x14ac:dyDescent="0.3">
      <c r="A30" s="1" t="s">
        <v>46</v>
      </c>
      <c r="B30" s="1" t="s">
        <v>29</v>
      </c>
      <c r="C30" s="1">
        <v>2458</v>
      </c>
      <c r="D30" s="1">
        <v>15</v>
      </c>
      <c r="E30" s="1">
        <v>75</v>
      </c>
      <c r="F30" s="1">
        <v>6</v>
      </c>
      <c r="G30" s="1">
        <v>55</v>
      </c>
      <c r="H30" s="1">
        <v>2</v>
      </c>
      <c r="I30" s="1">
        <v>1</v>
      </c>
      <c r="J30" s="1">
        <v>44.48</v>
      </c>
      <c r="K30" s="1">
        <v>0.53500000000000003</v>
      </c>
      <c r="L30" s="1">
        <v>35.6</v>
      </c>
      <c r="M30" s="1">
        <v>26.331</v>
      </c>
      <c r="N30" s="1">
        <v>5.8920000000000003</v>
      </c>
      <c r="O30" s="1">
        <v>32.222999999999999</v>
      </c>
      <c r="P30" s="1">
        <v>1.1779999999999999</v>
      </c>
      <c r="Q30" s="1">
        <v>0.65</v>
      </c>
      <c r="R30" s="1">
        <v>167.9863</v>
      </c>
      <c r="S30" s="1">
        <v>71.344999999999999</v>
      </c>
      <c r="T30" s="1">
        <v>0.29970000000000002</v>
      </c>
      <c r="U30" s="1">
        <v>8940.6749999999993</v>
      </c>
      <c r="V30" s="1">
        <v>95.612099999999998</v>
      </c>
      <c r="W30" s="1">
        <v>0</v>
      </c>
      <c r="X30" s="1">
        <v>11.3775</v>
      </c>
      <c r="Y30" s="1">
        <v>62.500799999999998</v>
      </c>
      <c r="Z30" s="1">
        <v>2.1602999999999999</v>
      </c>
      <c r="AA30" s="1">
        <v>4.88</v>
      </c>
      <c r="AB30" s="1">
        <v>480</v>
      </c>
      <c r="AC30" s="1">
        <v>1.0309999999999999</v>
      </c>
      <c r="AD30" s="1">
        <v>5.98</v>
      </c>
      <c r="AE30" s="1">
        <v>292.3</v>
      </c>
      <c r="AF30" s="1">
        <v>0.29441999999999996</v>
      </c>
    </row>
    <row r="31" spans="1:32" x14ac:dyDescent="0.3">
      <c r="A31" s="1" t="s">
        <v>46</v>
      </c>
      <c r="B31" s="1" t="s">
        <v>29</v>
      </c>
      <c r="C31" s="1">
        <v>2458</v>
      </c>
      <c r="D31" s="1">
        <v>15</v>
      </c>
      <c r="E31" s="1">
        <v>75</v>
      </c>
      <c r="F31" s="1">
        <v>6</v>
      </c>
      <c r="G31" s="1">
        <v>55</v>
      </c>
      <c r="H31" s="1">
        <v>2</v>
      </c>
      <c r="I31" s="1">
        <v>1</v>
      </c>
      <c r="J31" s="1">
        <v>44.48</v>
      </c>
      <c r="K31" s="1">
        <v>0.35410000000000003</v>
      </c>
      <c r="L31" s="1">
        <v>35</v>
      </c>
      <c r="M31" s="1">
        <v>26.754999999999999</v>
      </c>
      <c r="N31" s="1">
        <v>6.37</v>
      </c>
      <c r="O31" s="1">
        <v>33.125</v>
      </c>
      <c r="P31" s="1">
        <v>1.1539999999999999</v>
      </c>
      <c r="Q31" s="1">
        <v>0.65200000000000002</v>
      </c>
      <c r="R31" s="1">
        <v>165.66399999999999</v>
      </c>
      <c r="S31" s="1">
        <v>71.344999999999999</v>
      </c>
      <c r="T31" s="1">
        <v>0.35199999999999998</v>
      </c>
      <c r="U31" s="1">
        <v>8190.5430999999999</v>
      </c>
      <c r="V31" s="1">
        <v>96.228899999999996</v>
      </c>
      <c r="W31" s="1">
        <v>0</v>
      </c>
      <c r="X31" s="1">
        <v>12.190200000000001</v>
      </c>
      <c r="Y31" s="1">
        <v>66.738200000000006</v>
      </c>
      <c r="Z31" s="1">
        <v>2.1076000000000001</v>
      </c>
      <c r="AA31" s="1">
        <v>4.82</v>
      </c>
      <c r="AB31" s="1">
        <v>489</v>
      </c>
      <c r="AC31" s="1">
        <v>1.044</v>
      </c>
      <c r="AD31" s="1">
        <v>5.9</v>
      </c>
      <c r="AE31" s="1">
        <v>290.2</v>
      </c>
      <c r="AF31" s="1">
        <v>0.29722399999999999</v>
      </c>
    </row>
    <row r="32" spans="1:32" x14ac:dyDescent="0.3">
      <c r="A32" s="1" t="s">
        <v>46</v>
      </c>
      <c r="B32" s="1" t="s">
        <v>30</v>
      </c>
      <c r="C32" s="1">
        <v>2464</v>
      </c>
      <c r="D32" s="1">
        <v>19</v>
      </c>
      <c r="E32" s="1">
        <v>60</v>
      </c>
      <c r="F32" s="1">
        <v>10</v>
      </c>
      <c r="G32" s="1">
        <v>60</v>
      </c>
      <c r="H32" s="1">
        <v>2</v>
      </c>
      <c r="I32" s="1">
        <v>3</v>
      </c>
      <c r="J32" s="1">
        <v>48.88</v>
      </c>
      <c r="K32" s="1">
        <v>0.504</v>
      </c>
      <c r="L32" s="1">
        <v>42.5</v>
      </c>
      <c r="M32" s="1">
        <v>27.225999999999999</v>
      </c>
      <c r="N32" s="1">
        <v>4.9669999999999996</v>
      </c>
      <c r="O32" s="1">
        <v>32.192999999999998</v>
      </c>
      <c r="P32" s="1">
        <v>1.2949999999999999</v>
      </c>
      <c r="Q32" s="1">
        <v>0.7</v>
      </c>
      <c r="R32" s="1">
        <v>149.8723</v>
      </c>
      <c r="S32" s="1">
        <v>76.023399999999995</v>
      </c>
      <c r="T32" s="1">
        <v>0.4304</v>
      </c>
      <c r="U32" s="1">
        <v>6167.7514000000001</v>
      </c>
      <c r="V32" s="1">
        <v>48.1145</v>
      </c>
      <c r="W32" s="1">
        <v>0</v>
      </c>
      <c r="X32" s="1">
        <v>4.8761000000000001</v>
      </c>
      <c r="Y32" s="1">
        <v>12.712</v>
      </c>
      <c r="Z32" s="1">
        <v>1.1592</v>
      </c>
      <c r="AA32" s="1">
        <v>4.8899999999999997</v>
      </c>
      <c r="AB32" s="1">
        <v>456</v>
      </c>
      <c r="AC32" s="1">
        <v>0.86899999999999999</v>
      </c>
      <c r="AD32" s="1">
        <v>6.12</v>
      </c>
      <c r="AE32" s="1">
        <v>188.6</v>
      </c>
      <c r="AF32" s="1">
        <v>0.23834</v>
      </c>
    </row>
    <row r="33" spans="1:32" x14ac:dyDescent="0.3">
      <c r="A33" s="1" t="s">
        <v>46</v>
      </c>
      <c r="B33" s="1" t="s">
        <v>30</v>
      </c>
      <c r="C33" s="1">
        <v>2464</v>
      </c>
      <c r="D33" s="1">
        <v>19</v>
      </c>
      <c r="E33" s="1">
        <v>60</v>
      </c>
      <c r="F33" s="1">
        <v>10</v>
      </c>
      <c r="G33" s="1">
        <v>60</v>
      </c>
      <c r="H33" s="1">
        <v>2</v>
      </c>
      <c r="I33" s="1">
        <v>3</v>
      </c>
      <c r="J33" s="1">
        <v>49.04</v>
      </c>
      <c r="K33" s="1">
        <v>0.51700000000000002</v>
      </c>
      <c r="L33" s="1">
        <v>42</v>
      </c>
      <c r="M33" s="1">
        <v>27.914999999999999</v>
      </c>
      <c r="N33" s="1">
        <v>4.4649999999999999</v>
      </c>
      <c r="O33" s="1">
        <v>32.380000000000003</v>
      </c>
      <c r="P33" s="1">
        <v>1.181</v>
      </c>
      <c r="Q33" s="1">
        <v>0.68200000000000005</v>
      </c>
      <c r="R33" s="1">
        <v>148.16929999999999</v>
      </c>
      <c r="S33" s="1">
        <v>75.146199999999993</v>
      </c>
      <c r="T33" s="1">
        <v>0.45660000000000001</v>
      </c>
      <c r="U33" s="1">
        <v>6103.6376</v>
      </c>
      <c r="V33" s="1">
        <v>47.805999999999997</v>
      </c>
      <c r="W33" s="1">
        <v>0</v>
      </c>
      <c r="X33" s="1">
        <v>5.8918999999999997</v>
      </c>
      <c r="Y33" s="1">
        <v>20.127400000000002</v>
      </c>
      <c r="Z33" s="1">
        <v>1.1065</v>
      </c>
      <c r="AA33" s="1">
        <v>4.8899999999999997</v>
      </c>
      <c r="AB33" s="1">
        <v>452</v>
      </c>
      <c r="AC33" s="1">
        <v>0.81299999999999994</v>
      </c>
      <c r="AD33" s="1">
        <v>5.22</v>
      </c>
      <c r="AE33" s="1">
        <v>156.6</v>
      </c>
      <c r="AF33" s="1">
        <v>0.23553600000000002</v>
      </c>
    </row>
    <row r="34" spans="1:32" x14ac:dyDescent="0.3">
      <c r="A34" s="1" t="s">
        <v>46</v>
      </c>
      <c r="B34" s="1" t="s">
        <v>30</v>
      </c>
      <c r="C34" s="1">
        <v>2464</v>
      </c>
      <c r="D34" s="1">
        <v>19</v>
      </c>
      <c r="E34" s="1">
        <v>60</v>
      </c>
      <c r="F34" s="1">
        <v>10</v>
      </c>
      <c r="G34" s="1">
        <v>60</v>
      </c>
      <c r="H34" s="1">
        <v>2</v>
      </c>
      <c r="I34" s="1">
        <v>3</v>
      </c>
      <c r="J34" s="1">
        <v>49.08</v>
      </c>
      <c r="K34" s="1">
        <v>0.504</v>
      </c>
      <c r="L34" s="1">
        <v>42</v>
      </c>
      <c r="M34" s="1">
        <v>27.946000000000002</v>
      </c>
      <c r="N34" s="1">
        <v>4.2430000000000003</v>
      </c>
      <c r="O34" s="1">
        <v>32.189</v>
      </c>
      <c r="P34" s="1">
        <v>1.1839999999999999</v>
      </c>
      <c r="Q34" s="1">
        <v>0.68</v>
      </c>
      <c r="R34" s="1">
        <v>151.5753</v>
      </c>
      <c r="S34" s="1">
        <v>75.146199999999993</v>
      </c>
      <c r="T34" s="1">
        <v>0.45660000000000001</v>
      </c>
      <c r="U34" s="1">
        <v>5789.4798000000001</v>
      </c>
      <c r="V34" s="1">
        <v>43.796500000000002</v>
      </c>
      <c r="W34" s="1">
        <v>0</v>
      </c>
      <c r="X34" s="1">
        <v>5.6887999999999996</v>
      </c>
      <c r="Y34" s="1">
        <v>16.949400000000001</v>
      </c>
      <c r="Z34" s="1">
        <v>1.0538000000000001</v>
      </c>
      <c r="AA34" s="1">
        <v>4.8</v>
      </c>
      <c r="AB34" s="1">
        <v>452</v>
      </c>
      <c r="AC34" s="1">
        <v>0.78700000000000003</v>
      </c>
      <c r="AD34" s="1">
        <v>5.2</v>
      </c>
      <c r="AE34" s="1">
        <v>160.30000000000001</v>
      </c>
      <c r="AF34" s="1">
        <v>0.24114399999999997</v>
      </c>
    </row>
    <row r="35" spans="1:32" x14ac:dyDescent="0.3">
      <c r="A35" s="1" t="s">
        <v>46</v>
      </c>
      <c r="B35" s="1" t="s">
        <v>31</v>
      </c>
      <c r="C35" s="1">
        <v>2465</v>
      </c>
      <c r="D35" s="1">
        <v>19</v>
      </c>
      <c r="E35" s="1">
        <v>80</v>
      </c>
      <c r="F35" s="1">
        <v>7</v>
      </c>
      <c r="G35" s="1">
        <v>65</v>
      </c>
      <c r="H35" s="1">
        <v>3</v>
      </c>
      <c r="I35" s="1">
        <v>3</v>
      </c>
      <c r="J35" s="1">
        <v>53</v>
      </c>
      <c r="K35" s="1">
        <v>0.499</v>
      </c>
      <c r="L35" s="1">
        <v>46.7</v>
      </c>
      <c r="M35" s="1">
        <v>29.934999999999999</v>
      </c>
      <c r="N35" s="1">
        <v>6.3760000000000003</v>
      </c>
      <c r="O35" s="1">
        <v>36.311</v>
      </c>
      <c r="P35" s="1">
        <v>1.31</v>
      </c>
      <c r="Q35" s="1">
        <v>0.69799999999999995</v>
      </c>
      <c r="R35" s="1">
        <v>164.88900000000001</v>
      </c>
      <c r="S35" s="1">
        <v>67.543899999999994</v>
      </c>
      <c r="T35" s="1">
        <v>0.35199999999999998</v>
      </c>
      <c r="U35" s="1">
        <v>3147.9895000000001</v>
      </c>
      <c r="V35" s="1">
        <v>79.882300000000001</v>
      </c>
      <c r="W35" s="1">
        <v>0</v>
      </c>
      <c r="X35" s="1">
        <v>7.3140999999999998</v>
      </c>
      <c r="Y35" s="1">
        <v>20.127400000000002</v>
      </c>
      <c r="Z35" s="1">
        <v>0.84299999999999997</v>
      </c>
      <c r="AA35" s="1">
        <v>5.22</v>
      </c>
      <c r="AB35" s="1">
        <v>512</v>
      </c>
      <c r="AC35" s="1">
        <v>1.093</v>
      </c>
      <c r="AD35" s="1">
        <v>6.21</v>
      </c>
      <c r="AE35" s="1">
        <v>172.2</v>
      </c>
      <c r="AF35" s="1">
        <v>0.35049999999999998</v>
      </c>
    </row>
    <row r="36" spans="1:32" x14ac:dyDescent="0.3">
      <c r="A36" s="1" t="s">
        <v>46</v>
      </c>
      <c r="B36" s="1" t="s">
        <v>31</v>
      </c>
      <c r="C36" s="1">
        <v>2465</v>
      </c>
      <c r="D36" s="1">
        <v>19</v>
      </c>
      <c r="E36" s="1">
        <v>80</v>
      </c>
      <c r="F36" s="1">
        <v>7</v>
      </c>
      <c r="G36" s="1">
        <v>65</v>
      </c>
      <c r="H36" s="1">
        <v>3</v>
      </c>
      <c r="I36" s="1">
        <v>3</v>
      </c>
      <c r="J36" s="1">
        <v>53.32</v>
      </c>
      <c r="K36" s="1">
        <v>0.51700000000000002</v>
      </c>
      <c r="L36" s="1">
        <v>47.6</v>
      </c>
      <c r="M36" s="1">
        <v>29.599</v>
      </c>
      <c r="N36" s="1">
        <v>8.2390000000000008</v>
      </c>
      <c r="O36" s="1">
        <v>37.838999999999999</v>
      </c>
      <c r="P36" s="1">
        <v>1.4359999999999999</v>
      </c>
      <c r="Q36" s="1">
        <v>0.65</v>
      </c>
      <c r="R36" s="1">
        <v>164.4254</v>
      </c>
      <c r="S36" s="1">
        <v>70.467799999999997</v>
      </c>
      <c r="T36" s="1">
        <v>0.37809999999999999</v>
      </c>
      <c r="U36" s="1">
        <v>3276.2172</v>
      </c>
      <c r="V36" s="1">
        <v>79.882300000000001</v>
      </c>
      <c r="W36" s="1">
        <v>0</v>
      </c>
      <c r="X36" s="1">
        <v>8.5330999999999992</v>
      </c>
      <c r="Y36" s="1">
        <v>24.364699999999999</v>
      </c>
      <c r="Z36" s="1">
        <v>0.79039999999999999</v>
      </c>
      <c r="AA36" s="1">
        <v>5.2</v>
      </c>
      <c r="AB36" s="1">
        <v>510</v>
      </c>
      <c r="AC36" s="1">
        <v>1.1100000000000001</v>
      </c>
      <c r="AD36" s="1">
        <v>6.2</v>
      </c>
      <c r="AE36" s="1">
        <v>178</v>
      </c>
      <c r="AF36" s="1">
        <v>0.32526399999999994</v>
      </c>
    </row>
    <row r="37" spans="1:32" x14ac:dyDescent="0.3">
      <c r="A37" s="1" t="s">
        <v>46</v>
      </c>
      <c r="B37" s="1" t="s">
        <v>31</v>
      </c>
      <c r="C37" s="1">
        <v>2465</v>
      </c>
      <c r="D37" s="1">
        <v>19</v>
      </c>
      <c r="E37" s="1">
        <v>80</v>
      </c>
      <c r="F37" s="1">
        <v>7</v>
      </c>
      <c r="G37" s="1">
        <v>65</v>
      </c>
      <c r="H37" s="1">
        <v>3</v>
      </c>
      <c r="I37" s="1">
        <v>3</v>
      </c>
      <c r="J37" s="1">
        <v>53.32</v>
      </c>
      <c r="K37" s="1">
        <v>0.53500000000000003</v>
      </c>
      <c r="L37" s="1">
        <v>47.2</v>
      </c>
      <c r="M37" s="1">
        <v>30.077999999999999</v>
      </c>
      <c r="N37" s="1">
        <v>6.9930000000000003</v>
      </c>
      <c r="O37" s="1">
        <v>37.070999999999998</v>
      </c>
      <c r="P37" s="1">
        <v>1.4370000000000001</v>
      </c>
      <c r="Q37" s="1">
        <v>0.66700000000000004</v>
      </c>
      <c r="R37" s="1">
        <v>164.88980000000001</v>
      </c>
      <c r="S37" s="1">
        <v>69.005799999999994</v>
      </c>
      <c r="T37" s="1">
        <v>0.60040000000000004</v>
      </c>
      <c r="U37" s="1">
        <v>3404.4449</v>
      </c>
      <c r="V37" s="1">
        <v>70.938000000000002</v>
      </c>
      <c r="W37" s="1">
        <v>0</v>
      </c>
      <c r="X37" s="1">
        <v>8.1267999999999994</v>
      </c>
      <c r="Y37" s="1">
        <v>27.5427</v>
      </c>
      <c r="Z37" s="1">
        <v>0.84299999999999997</v>
      </c>
      <c r="AA37" s="1">
        <v>5.2</v>
      </c>
      <c r="AB37" s="1">
        <v>512</v>
      </c>
      <c r="AC37" s="1">
        <v>1.107</v>
      </c>
      <c r="AD37" s="1">
        <v>6.11</v>
      </c>
      <c r="AE37" s="1">
        <v>188</v>
      </c>
      <c r="AF37" s="1">
        <v>0.31404799999999994</v>
      </c>
    </row>
    <row r="38" spans="1:32" x14ac:dyDescent="0.3">
      <c r="A38" s="1" t="s">
        <v>46</v>
      </c>
      <c r="B38" s="1" t="s">
        <v>32</v>
      </c>
      <c r="C38" s="1">
        <v>2499</v>
      </c>
      <c r="D38" s="1">
        <v>14</v>
      </c>
      <c r="E38" s="1">
        <v>50</v>
      </c>
      <c r="F38" s="1">
        <v>8</v>
      </c>
      <c r="G38" s="1">
        <v>45</v>
      </c>
      <c r="H38" s="1">
        <v>3</v>
      </c>
      <c r="I38" s="1">
        <v>2</v>
      </c>
      <c r="J38" s="1">
        <v>45.04</v>
      </c>
      <c r="K38" s="1">
        <v>0.54900000000000004</v>
      </c>
      <c r="L38" s="1">
        <v>56.1</v>
      </c>
      <c r="M38" s="1">
        <v>32.433999999999997</v>
      </c>
      <c r="N38" s="1">
        <v>9.4260000000000002</v>
      </c>
      <c r="O38" s="1">
        <v>41.86</v>
      </c>
      <c r="P38" s="1">
        <v>1.3520000000000001</v>
      </c>
      <c r="Q38" s="1">
        <v>0.65</v>
      </c>
      <c r="R38" s="1">
        <v>164.4254</v>
      </c>
      <c r="S38" s="1">
        <v>76.991200000000006</v>
      </c>
      <c r="T38" s="1">
        <v>0.15590000000000001</v>
      </c>
      <c r="U38" s="1">
        <v>2122.1680999999999</v>
      </c>
      <c r="V38" s="1">
        <v>27.4499</v>
      </c>
      <c r="W38" s="1">
        <v>0</v>
      </c>
      <c r="X38" s="1">
        <v>6.7046000000000001</v>
      </c>
      <c r="Y38" s="1">
        <v>36.017400000000002</v>
      </c>
      <c r="Z38" s="1">
        <v>0.79039999999999999</v>
      </c>
      <c r="AA38" s="1">
        <v>5.12</v>
      </c>
      <c r="AB38" s="1">
        <v>560</v>
      </c>
      <c r="AC38" s="1">
        <v>0.96699999999999997</v>
      </c>
      <c r="AD38" s="1">
        <v>6.06</v>
      </c>
      <c r="AE38" s="1">
        <v>302.60000000000002</v>
      </c>
      <c r="AF38" s="1">
        <v>0.53836799999999996</v>
      </c>
    </row>
    <row r="39" spans="1:32" x14ac:dyDescent="0.3">
      <c r="A39" s="1" t="s">
        <v>46</v>
      </c>
      <c r="B39" s="1" t="s">
        <v>32</v>
      </c>
      <c r="C39" s="1">
        <v>2499</v>
      </c>
      <c r="D39" s="1">
        <v>14</v>
      </c>
      <c r="E39" s="1">
        <v>50</v>
      </c>
      <c r="F39" s="1">
        <v>8</v>
      </c>
      <c r="G39" s="1">
        <v>45</v>
      </c>
      <c r="H39" s="1">
        <v>3</v>
      </c>
      <c r="I39" s="1">
        <v>2</v>
      </c>
      <c r="J39" s="1">
        <v>45.96</v>
      </c>
      <c r="K39" s="1">
        <v>0.54100000000000004</v>
      </c>
      <c r="L39" s="1">
        <v>56</v>
      </c>
      <c r="M39" s="1">
        <v>32.206000000000003</v>
      </c>
      <c r="N39" s="1">
        <v>9.6310000000000002</v>
      </c>
      <c r="O39" s="1">
        <v>41.835999999999999</v>
      </c>
      <c r="P39" s="1">
        <v>1.357</v>
      </c>
      <c r="Q39" s="1">
        <v>0.65900000000000003</v>
      </c>
      <c r="R39" s="1">
        <v>164.52539999999999</v>
      </c>
      <c r="S39" s="1">
        <v>77.581100000000006</v>
      </c>
      <c r="T39" s="1">
        <v>0.16889999999999999</v>
      </c>
      <c r="U39" s="1">
        <v>1899.6931</v>
      </c>
      <c r="V39" s="1">
        <v>28.3752</v>
      </c>
      <c r="W39" s="1">
        <v>0</v>
      </c>
      <c r="X39" s="1">
        <v>7.1109999999999998</v>
      </c>
      <c r="Y39" s="1">
        <v>33.898800000000001</v>
      </c>
      <c r="Z39" s="1">
        <v>0.73770000000000002</v>
      </c>
      <c r="AA39" s="1">
        <v>5.12</v>
      </c>
      <c r="AB39" s="1">
        <v>566</v>
      </c>
      <c r="AC39" s="1">
        <v>1.0509999999999999</v>
      </c>
      <c r="AD39" s="1">
        <v>5.98</v>
      </c>
      <c r="AE39" s="1">
        <v>304.60000000000002</v>
      </c>
      <c r="AF39" s="1">
        <v>0.50471999999999995</v>
      </c>
    </row>
    <row r="40" spans="1:32" x14ac:dyDescent="0.3">
      <c r="A40" s="1" t="s">
        <v>46</v>
      </c>
      <c r="B40" s="1" t="s">
        <v>32</v>
      </c>
      <c r="C40" s="1">
        <v>2499</v>
      </c>
      <c r="D40" s="1">
        <v>14</v>
      </c>
      <c r="E40" s="1">
        <v>50</v>
      </c>
      <c r="F40" s="1">
        <v>8</v>
      </c>
      <c r="G40" s="1">
        <v>45</v>
      </c>
      <c r="H40" s="1">
        <v>3</v>
      </c>
      <c r="I40" s="1">
        <v>2</v>
      </c>
      <c r="J40" s="1">
        <v>49.84</v>
      </c>
      <c r="K40" s="1">
        <v>0.54100000000000004</v>
      </c>
      <c r="L40" s="1">
        <v>55.3</v>
      </c>
      <c r="M40" s="1">
        <v>31.542999999999999</v>
      </c>
      <c r="N40" s="1">
        <v>9.8680000000000003</v>
      </c>
      <c r="O40" s="1">
        <v>41.41</v>
      </c>
      <c r="P40" s="1">
        <v>1.2549999999999999</v>
      </c>
      <c r="Q40" s="1">
        <v>0.68</v>
      </c>
      <c r="R40" s="1">
        <v>164.2706</v>
      </c>
      <c r="S40" s="1">
        <v>78.761099999999999</v>
      </c>
      <c r="T40" s="1">
        <v>0.2082</v>
      </c>
      <c r="U40" s="1">
        <v>1727.8679999999999</v>
      </c>
      <c r="V40" s="1">
        <v>28.066800000000001</v>
      </c>
      <c r="W40" s="1">
        <v>0</v>
      </c>
      <c r="X40" s="1">
        <v>7.1109999999999998</v>
      </c>
      <c r="Y40" s="1">
        <v>30.720700000000001</v>
      </c>
      <c r="Z40" s="1">
        <v>0.68500000000000005</v>
      </c>
      <c r="AA40" s="1">
        <v>5.0999999999999996</v>
      </c>
      <c r="AB40" s="1">
        <v>565</v>
      </c>
      <c r="AC40" s="1">
        <v>1.0169999999999999</v>
      </c>
      <c r="AD40" s="1">
        <v>5.98</v>
      </c>
      <c r="AE40" s="1">
        <v>312.89999999999998</v>
      </c>
      <c r="AF40" s="1">
        <v>0.52154400000000001</v>
      </c>
    </row>
    <row r="41" spans="1:32" x14ac:dyDescent="0.3">
      <c r="A41" s="1" t="s">
        <v>46</v>
      </c>
      <c r="B41" s="1" t="s">
        <v>33</v>
      </c>
      <c r="C41" s="1">
        <v>2510</v>
      </c>
      <c r="D41" s="1">
        <v>14</v>
      </c>
      <c r="E41" s="1">
        <v>80</v>
      </c>
      <c r="F41" s="1">
        <v>7</v>
      </c>
      <c r="G41" s="1">
        <v>45</v>
      </c>
      <c r="H41" s="1">
        <v>3</v>
      </c>
      <c r="I41" s="1">
        <v>3</v>
      </c>
      <c r="J41" s="1">
        <v>48.64</v>
      </c>
      <c r="K41" s="1">
        <v>0.51100000000000001</v>
      </c>
      <c r="L41" s="1">
        <v>31.3</v>
      </c>
      <c r="M41" s="1">
        <v>34.286999999999999</v>
      </c>
      <c r="N41" s="1">
        <v>4.1500000000000004</v>
      </c>
      <c r="O41" s="1">
        <v>38.436999999999998</v>
      </c>
      <c r="P41" s="1">
        <v>1.21</v>
      </c>
      <c r="Q41" s="1">
        <v>0.70899999999999996</v>
      </c>
      <c r="R41" s="1">
        <v>136.55770000000001</v>
      </c>
      <c r="S41" s="1">
        <v>71.091399999999993</v>
      </c>
      <c r="T41" s="1">
        <v>0.15590000000000001</v>
      </c>
      <c r="U41" s="1">
        <v>1824.0387000000001</v>
      </c>
      <c r="V41" s="1">
        <v>23.4404</v>
      </c>
      <c r="W41" s="1">
        <v>0</v>
      </c>
      <c r="X41" s="1">
        <v>6.5014000000000003</v>
      </c>
      <c r="Y41" s="1">
        <v>25.424099999999999</v>
      </c>
      <c r="Z41" s="1">
        <v>1.3698999999999999</v>
      </c>
      <c r="AA41" s="1">
        <v>5.0999999999999996</v>
      </c>
      <c r="AB41" s="1">
        <v>512</v>
      </c>
      <c r="AC41" s="1">
        <v>0.64400000000000002</v>
      </c>
      <c r="AD41" s="1">
        <v>6.52</v>
      </c>
      <c r="AE41" s="1">
        <v>210</v>
      </c>
      <c r="AF41" s="1">
        <v>0.45424799999999993</v>
      </c>
    </row>
    <row r="42" spans="1:32" x14ac:dyDescent="0.3">
      <c r="A42" s="1" t="s">
        <v>46</v>
      </c>
      <c r="B42" s="1" t="s">
        <v>33</v>
      </c>
      <c r="C42" s="1">
        <v>2510</v>
      </c>
      <c r="D42" s="1">
        <v>14</v>
      </c>
      <c r="E42" s="1">
        <v>80</v>
      </c>
      <c r="F42" s="1">
        <v>7</v>
      </c>
      <c r="G42" s="1">
        <v>45</v>
      </c>
      <c r="H42" s="1">
        <v>3</v>
      </c>
      <c r="I42" s="1">
        <v>3</v>
      </c>
      <c r="J42" s="1">
        <v>50.64</v>
      </c>
      <c r="K42" s="1">
        <v>0.499</v>
      </c>
      <c r="L42" s="1">
        <v>30.8</v>
      </c>
      <c r="M42" s="1">
        <v>34.505000000000003</v>
      </c>
      <c r="N42" s="1">
        <v>5.7850000000000001</v>
      </c>
      <c r="O42" s="1">
        <v>40.29</v>
      </c>
      <c r="P42" s="1">
        <v>1.202</v>
      </c>
      <c r="Q42" s="1">
        <v>0.70099999999999996</v>
      </c>
      <c r="R42" s="1">
        <v>132.84200000000001</v>
      </c>
      <c r="S42" s="1">
        <v>72.861400000000003</v>
      </c>
      <c r="T42" s="1">
        <v>0.2082</v>
      </c>
      <c r="U42" s="1">
        <v>1673.3712</v>
      </c>
      <c r="V42" s="1">
        <v>30.2257</v>
      </c>
      <c r="W42" s="1">
        <v>0</v>
      </c>
      <c r="X42" s="1">
        <v>7.9236000000000004</v>
      </c>
      <c r="Y42" s="1">
        <v>27.5427</v>
      </c>
      <c r="Z42" s="1">
        <v>1.528</v>
      </c>
      <c r="AA42" s="1">
        <v>5.0999999999999996</v>
      </c>
      <c r="AB42" s="1">
        <v>511</v>
      </c>
      <c r="AC42" s="1">
        <v>0.66700000000000004</v>
      </c>
      <c r="AD42" s="1">
        <v>6.59</v>
      </c>
      <c r="AE42" s="1">
        <v>209.8</v>
      </c>
      <c r="AF42" s="1">
        <v>0.42059999999999992</v>
      </c>
    </row>
    <row r="43" spans="1:32" x14ac:dyDescent="0.3">
      <c r="A43" s="1" t="s">
        <v>46</v>
      </c>
      <c r="B43" s="1" t="s">
        <v>33</v>
      </c>
      <c r="C43" s="1">
        <v>2510</v>
      </c>
      <c r="D43" s="1">
        <v>14</v>
      </c>
      <c r="E43" s="1">
        <v>80</v>
      </c>
      <c r="F43" s="1">
        <v>7</v>
      </c>
      <c r="G43" s="1">
        <v>45</v>
      </c>
      <c r="H43" s="1">
        <v>3</v>
      </c>
      <c r="I43" s="1">
        <v>3</v>
      </c>
      <c r="J43" s="1">
        <v>50.68</v>
      </c>
      <c r="K43" s="1">
        <v>0.52100000000000002</v>
      </c>
      <c r="L43" s="1">
        <v>30.6</v>
      </c>
      <c r="M43" s="1">
        <v>33.942</v>
      </c>
      <c r="N43" s="1">
        <v>5.9269999999999996</v>
      </c>
      <c r="O43" s="1">
        <v>39.868000000000002</v>
      </c>
      <c r="P43" s="1">
        <v>1.31</v>
      </c>
      <c r="Q43" s="1">
        <v>0.69799999999999995</v>
      </c>
      <c r="R43" s="1">
        <v>135.62880000000001</v>
      </c>
      <c r="S43" s="1">
        <v>72.861400000000003</v>
      </c>
      <c r="T43" s="1">
        <v>0.16889999999999999</v>
      </c>
      <c r="U43" s="1">
        <v>1824.0387000000001</v>
      </c>
      <c r="V43" s="1">
        <v>29.608899999999998</v>
      </c>
      <c r="W43" s="1">
        <v>0</v>
      </c>
      <c r="X43" s="1">
        <v>6.9077999999999999</v>
      </c>
      <c r="Y43" s="1">
        <v>21.186699999999998</v>
      </c>
      <c r="Z43" s="1">
        <v>1.6860999999999999</v>
      </c>
      <c r="AA43" s="1">
        <v>5.12</v>
      </c>
      <c r="AB43" s="1">
        <v>510</v>
      </c>
      <c r="AC43" s="1">
        <v>0.69299999999999995</v>
      </c>
      <c r="AD43" s="1">
        <v>6.72</v>
      </c>
      <c r="AE43" s="1">
        <v>204</v>
      </c>
      <c r="AF43" s="1">
        <v>0.42059999999999992</v>
      </c>
    </row>
    <row r="44" spans="1:32" x14ac:dyDescent="0.3">
      <c r="A44" s="1" t="s">
        <v>46</v>
      </c>
      <c r="B44" s="1" t="s">
        <v>34</v>
      </c>
      <c r="C44" s="1">
        <v>2521</v>
      </c>
      <c r="D44" s="1">
        <v>11</v>
      </c>
      <c r="E44" s="1">
        <v>57</v>
      </c>
      <c r="F44" s="1">
        <v>9</v>
      </c>
      <c r="G44" s="1">
        <v>65</v>
      </c>
      <c r="H44" s="1">
        <v>3</v>
      </c>
      <c r="I44" s="1">
        <v>3</v>
      </c>
      <c r="J44" s="1">
        <v>54.24</v>
      </c>
      <c r="K44" s="1">
        <v>0.46100000000000002</v>
      </c>
      <c r="L44" s="1">
        <v>30.9</v>
      </c>
      <c r="M44" s="1">
        <v>33.520000000000003</v>
      </c>
      <c r="N44" s="1">
        <v>3.8420000000000001</v>
      </c>
      <c r="O44" s="1">
        <v>37.363</v>
      </c>
      <c r="P44" s="1">
        <v>1.073</v>
      </c>
      <c r="Q44" s="1">
        <v>0.71</v>
      </c>
      <c r="R44" s="1">
        <v>177.73990000000001</v>
      </c>
      <c r="S44" s="1">
        <v>78.761099999999999</v>
      </c>
      <c r="T44" s="1">
        <v>0.2082</v>
      </c>
      <c r="U44" s="1">
        <v>2638.2845000000002</v>
      </c>
      <c r="V44" s="1">
        <v>30.2257</v>
      </c>
      <c r="W44" s="1">
        <v>0</v>
      </c>
      <c r="X44" s="1">
        <v>1.8285</v>
      </c>
      <c r="Y44" s="1">
        <v>27.5427</v>
      </c>
      <c r="Z44" s="1">
        <v>0.79039999999999999</v>
      </c>
      <c r="AA44" s="1">
        <v>5.0599999999999996</v>
      </c>
      <c r="AB44" s="1">
        <v>522</v>
      </c>
      <c r="AC44" s="1">
        <v>1.0309999999999999</v>
      </c>
      <c r="AD44" s="1">
        <v>6.02</v>
      </c>
      <c r="AE44" s="1">
        <v>198</v>
      </c>
      <c r="AF44" s="1">
        <v>0.39816799999999991</v>
      </c>
    </row>
    <row r="45" spans="1:32" x14ac:dyDescent="0.3">
      <c r="A45" s="1" t="s">
        <v>46</v>
      </c>
      <c r="B45" s="1" t="s">
        <v>34</v>
      </c>
      <c r="C45" s="1">
        <v>2521</v>
      </c>
      <c r="D45" s="1">
        <v>11</v>
      </c>
      <c r="E45" s="1">
        <v>57</v>
      </c>
      <c r="F45" s="1">
        <v>9</v>
      </c>
      <c r="G45" s="1">
        <v>65</v>
      </c>
      <c r="H45" s="1">
        <v>3</v>
      </c>
      <c r="I45" s="1">
        <v>3</v>
      </c>
      <c r="J45" s="1">
        <v>54.08</v>
      </c>
      <c r="K45" s="1">
        <v>0.47499999999999998</v>
      </c>
      <c r="L45" s="1">
        <v>32</v>
      </c>
      <c r="M45" s="1">
        <v>32.457000000000001</v>
      </c>
      <c r="N45" s="1">
        <v>6.6630000000000003</v>
      </c>
      <c r="O45" s="1">
        <v>39.119</v>
      </c>
      <c r="P45" s="1">
        <v>1.0669999999999999</v>
      </c>
      <c r="Q45" s="1">
        <v>0.70899999999999996</v>
      </c>
      <c r="R45" s="1">
        <v>174.64349999999999</v>
      </c>
      <c r="S45" s="1">
        <v>77.581100000000006</v>
      </c>
      <c r="T45" s="1">
        <v>0.33889999999999998</v>
      </c>
      <c r="U45" s="1">
        <v>2631.8730999999998</v>
      </c>
      <c r="V45" s="1">
        <v>28.066800000000001</v>
      </c>
      <c r="W45" s="1">
        <v>0</v>
      </c>
      <c r="X45" s="1">
        <v>1.8285</v>
      </c>
      <c r="Y45" s="1">
        <v>21.186699999999998</v>
      </c>
      <c r="Z45" s="1">
        <v>0.84299999999999997</v>
      </c>
      <c r="AA45" s="1">
        <v>5.08</v>
      </c>
      <c r="AB45" s="1">
        <v>523</v>
      </c>
      <c r="AC45" s="1">
        <v>1.0269999999999999</v>
      </c>
      <c r="AD45" s="1">
        <v>6.18</v>
      </c>
      <c r="AE45" s="1">
        <v>188.6</v>
      </c>
      <c r="AF45" s="1">
        <v>0.43742399999999998</v>
      </c>
    </row>
    <row r="46" spans="1:32" x14ac:dyDescent="0.3">
      <c r="A46" s="1" t="s">
        <v>46</v>
      </c>
      <c r="B46" s="1" t="s">
        <v>34</v>
      </c>
      <c r="C46" s="1">
        <v>2521</v>
      </c>
      <c r="D46" s="1">
        <v>11</v>
      </c>
      <c r="E46" s="1">
        <v>57</v>
      </c>
      <c r="F46" s="1">
        <v>9</v>
      </c>
      <c r="G46" s="1">
        <v>65</v>
      </c>
      <c r="H46" s="1">
        <v>3</v>
      </c>
      <c r="I46" s="1">
        <v>3</v>
      </c>
      <c r="J46" s="1">
        <v>52.04</v>
      </c>
      <c r="K46" s="1">
        <v>0.47899999999999998</v>
      </c>
      <c r="L46" s="1">
        <v>31.6</v>
      </c>
      <c r="M46" s="1">
        <v>32.822000000000003</v>
      </c>
      <c r="N46" s="1">
        <v>6.5730000000000004</v>
      </c>
      <c r="O46" s="1">
        <v>39.396000000000001</v>
      </c>
      <c r="P46" s="1">
        <v>1.0740000000000001</v>
      </c>
      <c r="Q46" s="1">
        <v>0.7</v>
      </c>
      <c r="R46" s="1">
        <v>175.57249999999999</v>
      </c>
      <c r="S46" s="1">
        <v>76.696200000000005</v>
      </c>
      <c r="T46" s="1">
        <v>0.36509999999999998</v>
      </c>
      <c r="U46" s="1">
        <v>2647.9016000000001</v>
      </c>
      <c r="V46" s="1">
        <v>32.693199999999997</v>
      </c>
      <c r="W46" s="1">
        <v>0</v>
      </c>
      <c r="X46" s="1">
        <v>2.0316999999999998</v>
      </c>
      <c r="Y46" s="1">
        <v>22.246099999999998</v>
      </c>
      <c r="Z46" s="1">
        <v>0.73770000000000002</v>
      </c>
      <c r="AA46" s="1">
        <v>5.0999999999999996</v>
      </c>
      <c r="AB46" s="1">
        <v>523</v>
      </c>
      <c r="AC46" s="1">
        <v>1.0209999999999999</v>
      </c>
      <c r="AD46" s="1">
        <v>6.32</v>
      </c>
      <c r="AE46" s="1">
        <v>186.2</v>
      </c>
      <c r="AF46" s="1">
        <v>0.42620799999999998</v>
      </c>
    </row>
    <row r="47" spans="1:32" x14ac:dyDescent="0.3">
      <c r="A47" s="1" t="s">
        <v>47</v>
      </c>
      <c r="B47" s="1" t="s">
        <v>20</v>
      </c>
      <c r="C47" s="1">
        <v>2755</v>
      </c>
      <c r="D47" s="1">
        <v>28</v>
      </c>
      <c r="E47" s="1">
        <v>25</v>
      </c>
      <c r="F47" s="1">
        <v>11</v>
      </c>
      <c r="G47" s="1">
        <v>60</v>
      </c>
      <c r="H47" s="1">
        <v>3</v>
      </c>
      <c r="I47" s="1">
        <v>2</v>
      </c>
      <c r="J47" s="1">
        <v>213.2</v>
      </c>
      <c r="K47" s="1">
        <v>0.79857</v>
      </c>
      <c r="L47" s="1">
        <v>156</v>
      </c>
      <c r="M47" s="1">
        <v>4.1349999999999998</v>
      </c>
      <c r="N47" s="1">
        <v>0.70199999999999996</v>
      </c>
      <c r="O47" s="1">
        <v>4.8380000000000001</v>
      </c>
      <c r="P47" s="1">
        <v>0.93</v>
      </c>
      <c r="Q47" s="1">
        <v>7.1999999999999995E-2</v>
      </c>
      <c r="R47" s="1">
        <v>165.04466909999999</v>
      </c>
      <c r="S47" s="1">
        <v>29.487179489999999</v>
      </c>
      <c r="T47" s="1">
        <v>1.581142955</v>
      </c>
      <c r="U47" s="1">
        <v>4981.6453680000004</v>
      </c>
      <c r="V47" s="1">
        <v>5.2432420000000004</v>
      </c>
      <c r="W47" s="1">
        <v>6.040770889</v>
      </c>
      <c r="X47" s="1">
        <v>5.6887600000000003</v>
      </c>
      <c r="Y47" s="1">
        <v>30.720744</v>
      </c>
      <c r="Z47" s="1">
        <v>1.3699399999999999</v>
      </c>
      <c r="AA47" s="1">
        <v>4.82</v>
      </c>
      <c r="AB47" s="1">
        <v>624</v>
      </c>
      <c r="AC47" s="1">
        <v>1.1499999999999999</v>
      </c>
      <c r="AD47" s="2">
        <v>5.32</v>
      </c>
      <c r="AE47" s="2">
        <v>104.1</v>
      </c>
      <c r="AF47" s="1">
        <v>0.39816799999999991</v>
      </c>
    </row>
    <row r="48" spans="1:32" x14ac:dyDescent="0.3">
      <c r="A48" s="1" t="s">
        <v>47</v>
      </c>
      <c r="B48" s="1" t="s">
        <v>20</v>
      </c>
      <c r="C48" s="1">
        <v>2755</v>
      </c>
      <c r="D48" s="1">
        <v>28</v>
      </c>
      <c r="E48" s="1">
        <v>25</v>
      </c>
      <c r="F48" s="1">
        <v>11</v>
      </c>
      <c r="G48" s="1">
        <v>60</v>
      </c>
      <c r="H48" s="1">
        <v>3</v>
      </c>
      <c r="I48" s="1">
        <v>2</v>
      </c>
      <c r="J48" s="1">
        <v>218</v>
      </c>
      <c r="K48" s="1">
        <v>0.79857</v>
      </c>
      <c r="L48" s="1">
        <v>154.5</v>
      </c>
      <c r="M48" s="1">
        <v>4.0380000000000003</v>
      </c>
      <c r="N48" s="1">
        <v>0.52100000000000002</v>
      </c>
      <c r="O48" s="1">
        <v>4.5590000000000002</v>
      </c>
      <c r="P48" s="1">
        <v>0.93600000000000005</v>
      </c>
      <c r="Q48" s="1">
        <v>7.8E-2</v>
      </c>
      <c r="R48" s="1">
        <v>190.59002520000001</v>
      </c>
      <c r="S48" s="1">
        <v>30.128205130000001</v>
      </c>
      <c r="T48" s="1">
        <v>1.6465205780000001</v>
      </c>
      <c r="U48" s="1">
        <v>4936.7656800000004</v>
      </c>
      <c r="V48" s="1">
        <v>5.2432420000000004</v>
      </c>
      <c r="W48" s="1">
        <v>1.7246508659999999</v>
      </c>
      <c r="X48" s="1">
        <v>5.6887600000000003</v>
      </c>
      <c r="Y48" s="1">
        <v>26.4834</v>
      </c>
      <c r="Z48" s="1">
        <v>0.89573000000000003</v>
      </c>
      <c r="AA48" s="1">
        <v>4.8</v>
      </c>
      <c r="AB48" s="1">
        <v>620</v>
      </c>
      <c r="AC48" s="1">
        <v>1.19</v>
      </c>
      <c r="AD48" s="2">
        <v>5.35</v>
      </c>
      <c r="AE48" s="2">
        <v>88</v>
      </c>
      <c r="AF48" s="1">
        <v>0.37573599999999996</v>
      </c>
    </row>
    <row r="49" spans="1:32" x14ac:dyDescent="0.3">
      <c r="A49" s="1" t="s">
        <v>47</v>
      </c>
      <c r="B49" s="1" t="s">
        <v>20</v>
      </c>
      <c r="C49" s="1">
        <v>2755</v>
      </c>
      <c r="D49" s="1">
        <v>28</v>
      </c>
      <c r="E49" s="1">
        <v>25</v>
      </c>
      <c r="F49" s="1">
        <v>11</v>
      </c>
      <c r="G49" s="1">
        <v>60</v>
      </c>
      <c r="H49" s="1">
        <v>3</v>
      </c>
      <c r="I49" s="1">
        <v>2</v>
      </c>
      <c r="J49" s="1">
        <v>222.8</v>
      </c>
      <c r="K49" s="1">
        <v>0.74253000000000002</v>
      </c>
      <c r="L49" s="1">
        <v>157</v>
      </c>
      <c r="M49" s="1">
        <v>4.375</v>
      </c>
      <c r="N49" s="1">
        <v>1.5009999999999999</v>
      </c>
      <c r="O49" s="1">
        <v>5.8760000000000003</v>
      </c>
      <c r="P49" s="1">
        <v>0.97799999999999998</v>
      </c>
      <c r="Q49" s="1">
        <v>6.0000000000000001E-3</v>
      </c>
      <c r="R49" s="1">
        <v>182.84900819999999</v>
      </c>
      <c r="S49" s="1">
        <v>30.128205130000001</v>
      </c>
      <c r="T49" s="1">
        <v>1.54191638</v>
      </c>
      <c r="U49" s="1">
        <v>5129.1072000000004</v>
      </c>
      <c r="V49" s="1">
        <v>4.6263899999999998</v>
      </c>
      <c r="W49" s="1">
        <v>1.7246508659999999</v>
      </c>
      <c r="X49" s="1">
        <v>5.6887600000000003</v>
      </c>
      <c r="Y49" s="1">
        <v>13.771368000000001</v>
      </c>
      <c r="Z49" s="1">
        <v>1.3698999999999999</v>
      </c>
      <c r="AA49" s="1">
        <v>4.8</v>
      </c>
      <c r="AB49" s="1">
        <v>624</v>
      </c>
      <c r="AC49" s="1">
        <v>1.22</v>
      </c>
      <c r="AD49" s="2">
        <v>5.88</v>
      </c>
      <c r="AE49" s="2">
        <v>72</v>
      </c>
      <c r="AF49" s="1">
        <v>0.23834</v>
      </c>
    </row>
    <row r="50" spans="1:32" x14ac:dyDescent="0.3">
      <c r="A50" s="1" t="s">
        <v>47</v>
      </c>
      <c r="B50" s="1" t="s">
        <v>21</v>
      </c>
      <c r="C50" s="1">
        <v>2766</v>
      </c>
      <c r="D50" s="1">
        <v>20</v>
      </c>
      <c r="E50" s="1">
        <v>35</v>
      </c>
      <c r="F50" s="1">
        <v>9</v>
      </c>
      <c r="G50" s="1">
        <v>55</v>
      </c>
      <c r="H50" s="1">
        <v>3</v>
      </c>
      <c r="I50" s="1">
        <v>2</v>
      </c>
      <c r="J50" s="1">
        <v>201.04</v>
      </c>
      <c r="K50" s="1">
        <v>1.429</v>
      </c>
      <c r="L50" s="1">
        <v>162</v>
      </c>
      <c r="M50" s="1">
        <v>4.0449999999999999</v>
      </c>
      <c r="N50" s="1">
        <v>0.88500000000000001</v>
      </c>
      <c r="O50" s="1">
        <v>4.93</v>
      </c>
      <c r="P50" s="1">
        <v>0.64600000000000002</v>
      </c>
      <c r="Q50" s="1">
        <v>0.10199999999999999</v>
      </c>
      <c r="R50" s="1">
        <v>105.5937</v>
      </c>
      <c r="S50" s="1">
        <v>22.4359</v>
      </c>
      <c r="T50" s="1">
        <v>1.5287999999999999</v>
      </c>
      <c r="U50" s="1">
        <v>17701.831200000001</v>
      </c>
      <c r="V50" s="1">
        <v>30.2257</v>
      </c>
      <c r="W50" s="1">
        <v>10.363300000000001</v>
      </c>
      <c r="X50" s="1">
        <v>11.987</v>
      </c>
      <c r="Y50" s="1">
        <v>31.780100000000001</v>
      </c>
      <c r="Z50" s="1">
        <v>1.8442000000000001</v>
      </c>
      <c r="AA50" s="1">
        <v>4.88</v>
      </c>
      <c r="AB50" s="1">
        <v>638</v>
      </c>
      <c r="AC50" s="1">
        <v>1.1299999999999999</v>
      </c>
      <c r="AD50" s="2">
        <v>5.7</v>
      </c>
      <c r="AE50" s="2">
        <v>92</v>
      </c>
      <c r="AF50" s="1">
        <v>0.33647999999999995</v>
      </c>
    </row>
    <row r="51" spans="1:32" x14ac:dyDescent="0.3">
      <c r="A51" s="1" t="s">
        <v>47</v>
      </c>
      <c r="B51" s="1" t="s">
        <v>21</v>
      </c>
      <c r="C51" s="1">
        <v>2766</v>
      </c>
      <c r="D51" s="1">
        <v>20</v>
      </c>
      <c r="E51" s="1">
        <v>35</v>
      </c>
      <c r="F51" s="1">
        <v>9</v>
      </c>
      <c r="G51" s="1">
        <v>55</v>
      </c>
      <c r="H51" s="1">
        <v>3</v>
      </c>
      <c r="I51" s="1">
        <v>2</v>
      </c>
      <c r="J51" s="1">
        <v>206</v>
      </c>
      <c r="K51" s="1">
        <v>1.446</v>
      </c>
      <c r="L51" s="1">
        <v>162</v>
      </c>
      <c r="M51" s="1">
        <v>3.948</v>
      </c>
      <c r="N51" s="1">
        <v>0.70399999999999996</v>
      </c>
      <c r="O51" s="1">
        <v>4.6509999999999998</v>
      </c>
      <c r="P51" s="1">
        <v>0.86799999999999999</v>
      </c>
      <c r="Q51" s="1">
        <v>0.106</v>
      </c>
      <c r="R51" s="1">
        <v>104.6647</v>
      </c>
      <c r="S51" s="1">
        <v>22.4359</v>
      </c>
      <c r="T51" s="1">
        <v>1.6072</v>
      </c>
      <c r="U51" s="1">
        <v>19314.294300000001</v>
      </c>
      <c r="V51" s="1">
        <v>29.608899999999998</v>
      </c>
      <c r="W51" s="1">
        <v>10.363300000000001</v>
      </c>
      <c r="X51" s="1">
        <v>10.5648</v>
      </c>
      <c r="Y51" s="1">
        <v>41.314100000000003</v>
      </c>
      <c r="Z51" s="1">
        <v>2.0548999999999999</v>
      </c>
      <c r="AA51" s="1">
        <v>4.88</v>
      </c>
      <c r="AB51" s="1">
        <v>630</v>
      </c>
      <c r="AC51" s="1">
        <v>1.1299999999999999</v>
      </c>
      <c r="AD51" s="2">
        <v>5.82</v>
      </c>
      <c r="AE51" s="2">
        <v>95</v>
      </c>
      <c r="AF51" s="1">
        <v>0.36451999999999996</v>
      </c>
    </row>
    <row r="52" spans="1:32" x14ac:dyDescent="0.3">
      <c r="A52" s="1" t="s">
        <v>47</v>
      </c>
      <c r="B52" s="1" t="s">
        <v>21</v>
      </c>
      <c r="C52" s="1">
        <v>2766</v>
      </c>
      <c r="D52" s="1">
        <v>20</v>
      </c>
      <c r="E52" s="1">
        <v>35</v>
      </c>
      <c r="F52" s="1">
        <v>9</v>
      </c>
      <c r="G52" s="1">
        <v>55</v>
      </c>
      <c r="H52" s="1">
        <v>3</v>
      </c>
      <c r="I52" s="1">
        <v>2</v>
      </c>
      <c r="J52" s="1">
        <v>206.4</v>
      </c>
      <c r="K52" s="1">
        <v>1.4650000000000001</v>
      </c>
      <c r="L52" s="1">
        <v>162.6</v>
      </c>
      <c r="M52" s="1">
        <v>3.7069999999999999</v>
      </c>
      <c r="N52" s="1">
        <v>1.8320000000000001</v>
      </c>
      <c r="O52" s="1">
        <v>5.5389999999999997</v>
      </c>
      <c r="P52" s="1">
        <v>0.83599999999999997</v>
      </c>
      <c r="Q52" s="1">
        <v>0.105</v>
      </c>
      <c r="R52" s="1">
        <v>100.32980000000001</v>
      </c>
      <c r="S52" s="1">
        <v>22.115400000000001</v>
      </c>
      <c r="T52" s="1">
        <v>1.6334</v>
      </c>
      <c r="U52" s="1">
        <v>18993.7251</v>
      </c>
      <c r="V52" s="1">
        <v>28.3752</v>
      </c>
      <c r="W52" s="1">
        <v>9.4983000000000004</v>
      </c>
      <c r="X52" s="1">
        <v>10.361700000000001</v>
      </c>
      <c r="Y52" s="1">
        <v>30.720700000000001</v>
      </c>
      <c r="Z52" s="1">
        <v>1.528</v>
      </c>
      <c r="AA52" s="1">
        <v>4.87</v>
      </c>
      <c r="AB52" s="1">
        <v>632</v>
      </c>
      <c r="AC52" s="1">
        <v>1.1299999999999999</v>
      </c>
      <c r="AD52" s="2">
        <v>5.72</v>
      </c>
      <c r="AE52" s="2">
        <v>96</v>
      </c>
      <c r="AF52" s="1">
        <v>0.36451999999999996</v>
      </c>
    </row>
    <row r="53" spans="1:32" x14ac:dyDescent="0.3">
      <c r="A53" s="1" t="s">
        <v>47</v>
      </c>
      <c r="B53" s="1" t="s">
        <v>22</v>
      </c>
      <c r="C53" s="1">
        <v>2765</v>
      </c>
      <c r="D53" s="1">
        <v>85</v>
      </c>
      <c r="E53" s="1">
        <v>60</v>
      </c>
      <c r="F53" s="1">
        <v>15</v>
      </c>
      <c r="G53" s="1">
        <v>60</v>
      </c>
      <c r="H53" s="1">
        <v>3</v>
      </c>
      <c r="I53" s="1">
        <v>3</v>
      </c>
      <c r="J53" s="1">
        <v>199.2</v>
      </c>
      <c r="K53" s="1">
        <v>1.0509999999999999</v>
      </c>
      <c r="L53" s="1">
        <v>181.1</v>
      </c>
      <c r="M53" s="1">
        <v>5.1639999999999997</v>
      </c>
      <c r="N53" s="1">
        <v>0.23799999999999999</v>
      </c>
      <c r="O53" s="1">
        <v>5.4029999999999996</v>
      </c>
      <c r="P53" s="1">
        <v>0.76900000000000002</v>
      </c>
      <c r="Q53" s="1">
        <v>2.8000000000000001E-2</v>
      </c>
      <c r="R53" s="1">
        <v>82.370599999999996</v>
      </c>
      <c r="S53" s="1">
        <v>9.2948699999999995</v>
      </c>
      <c r="T53" s="1">
        <v>2.0910000000000002</v>
      </c>
      <c r="U53" s="1">
        <v>10892.9414</v>
      </c>
      <c r="V53" s="1">
        <v>12.953900000000001</v>
      </c>
      <c r="W53" s="1">
        <v>18.1602</v>
      </c>
      <c r="X53" s="1">
        <v>8.5330999999999992</v>
      </c>
      <c r="Y53" s="1">
        <v>34.958100000000002</v>
      </c>
      <c r="Z53" s="1">
        <v>1.1065</v>
      </c>
      <c r="AA53" s="1">
        <v>5.72</v>
      </c>
      <c r="AB53" s="1">
        <v>659</v>
      </c>
      <c r="AC53" s="1">
        <v>0.99</v>
      </c>
      <c r="AD53" s="2">
        <v>5.77</v>
      </c>
      <c r="AE53" s="2">
        <v>199</v>
      </c>
      <c r="AF53" s="1">
        <v>0.19627999999999998</v>
      </c>
    </row>
    <row r="54" spans="1:32" x14ac:dyDescent="0.3">
      <c r="A54" s="1" t="s">
        <v>47</v>
      </c>
      <c r="B54" s="1" t="s">
        <v>22</v>
      </c>
      <c r="C54" s="1">
        <v>2765</v>
      </c>
      <c r="D54" s="1">
        <v>85</v>
      </c>
      <c r="E54" s="1">
        <v>60</v>
      </c>
      <c r="F54" s="1">
        <v>15</v>
      </c>
      <c r="G54" s="1">
        <v>60</v>
      </c>
      <c r="H54" s="1">
        <v>3</v>
      </c>
      <c r="I54" s="1">
        <v>3</v>
      </c>
      <c r="J54" s="1">
        <v>205.2</v>
      </c>
      <c r="K54" s="1">
        <v>1.0089999999999999</v>
      </c>
      <c r="L54" s="1">
        <v>180</v>
      </c>
      <c r="M54" s="1">
        <v>5.6050000000000004</v>
      </c>
      <c r="N54" s="1">
        <v>4.2999999999999997E-2</v>
      </c>
      <c r="O54" s="1">
        <v>5.6479999999999997</v>
      </c>
      <c r="P54" s="1">
        <v>0.80500000000000005</v>
      </c>
      <c r="Q54" s="1">
        <v>2.1000000000000001E-2</v>
      </c>
      <c r="R54" s="1">
        <v>93.672489999999996</v>
      </c>
      <c r="S54" s="1">
        <v>11.2179</v>
      </c>
      <c r="T54" s="1">
        <v>2.03878</v>
      </c>
      <c r="U54" s="1">
        <v>10684.571400000001</v>
      </c>
      <c r="V54" s="1">
        <v>13.879200000000001</v>
      </c>
      <c r="W54" s="1">
        <v>3.4502999999999999</v>
      </c>
      <c r="X54" s="1">
        <v>9.9552999999999994</v>
      </c>
      <c r="Y54" s="1">
        <v>33.898800000000001</v>
      </c>
      <c r="Z54" s="1">
        <v>2.2130000000000001</v>
      </c>
      <c r="AA54" s="1">
        <v>5.7</v>
      </c>
      <c r="AB54" s="1">
        <v>655</v>
      </c>
      <c r="AC54" s="1">
        <v>1.05</v>
      </c>
      <c r="AD54" s="2">
        <v>5.91</v>
      </c>
      <c r="AE54" s="2">
        <v>180.8</v>
      </c>
      <c r="AF54" s="1">
        <v>0.74305999999999994</v>
      </c>
    </row>
    <row r="55" spans="1:32" x14ac:dyDescent="0.3">
      <c r="A55" s="1" t="s">
        <v>47</v>
      </c>
      <c r="B55" s="1" t="s">
        <v>22</v>
      </c>
      <c r="C55" s="1">
        <v>2765</v>
      </c>
      <c r="D55" s="1">
        <v>85</v>
      </c>
      <c r="E55" s="1">
        <v>60</v>
      </c>
      <c r="F55" s="1">
        <v>15</v>
      </c>
      <c r="G55" s="1">
        <v>60</v>
      </c>
      <c r="H55" s="1">
        <v>3</v>
      </c>
      <c r="I55" s="1">
        <v>3</v>
      </c>
      <c r="J55" s="1">
        <v>194</v>
      </c>
      <c r="K55" s="1">
        <v>1.079</v>
      </c>
      <c r="L55" s="1">
        <v>183</v>
      </c>
      <c r="M55" s="1">
        <v>6.1109999999999998</v>
      </c>
      <c r="N55" s="1">
        <v>0.182</v>
      </c>
      <c r="O55" s="1">
        <v>6.2930000000000001</v>
      </c>
      <c r="P55" s="1">
        <v>0.74099999999999999</v>
      </c>
      <c r="Q55" s="1">
        <v>5.6000000000000001E-2</v>
      </c>
      <c r="R55" s="1">
        <v>94.911050000000003</v>
      </c>
      <c r="S55" s="1">
        <v>13.461499999999999</v>
      </c>
      <c r="T55" s="1">
        <v>2.05186</v>
      </c>
      <c r="U55" s="1">
        <v>10569.166499999999</v>
      </c>
      <c r="V55" s="1">
        <v>12.6455</v>
      </c>
      <c r="W55" s="1">
        <v>2.5874000000000001</v>
      </c>
      <c r="X55" s="1">
        <v>9.5489999999999995</v>
      </c>
      <c r="Y55" s="1">
        <v>18.008700000000001</v>
      </c>
      <c r="Z55" s="1">
        <v>1.4226000000000001</v>
      </c>
      <c r="AA55" s="1">
        <v>5.7</v>
      </c>
      <c r="AB55" s="1">
        <v>655</v>
      </c>
      <c r="AC55" s="1">
        <v>1.02</v>
      </c>
      <c r="AD55" s="2">
        <v>5.85</v>
      </c>
      <c r="AE55" s="2">
        <v>171.3</v>
      </c>
      <c r="AF55" s="1">
        <v>1.0655199999999998</v>
      </c>
    </row>
    <row r="56" spans="1:32" x14ac:dyDescent="0.3">
      <c r="A56" s="1" t="s">
        <v>47</v>
      </c>
      <c r="B56" s="1" t="s">
        <v>23</v>
      </c>
      <c r="C56" s="1">
        <v>2845</v>
      </c>
      <c r="D56" s="1">
        <v>39</v>
      </c>
      <c r="E56" s="1">
        <v>50</v>
      </c>
      <c r="F56" s="1">
        <v>5</v>
      </c>
      <c r="G56" s="1">
        <v>25</v>
      </c>
      <c r="H56" s="1">
        <v>3</v>
      </c>
      <c r="I56" s="1">
        <v>2</v>
      </c>
      <c r="J56" s="1">
        <v>238.8</v>
      </c>
      <c r="K56" s="1">
        <v>1.3029999999999999</v>
      </c>
      <c r="L56" s="1">
        <v>176.6</v>
      </c>
      <c r="M56" s="1">
        <v>15.741</v>
      </c>
      <c r="N56" s="1">
        <v>4.1230000000000002</v>
      </c>
      <c r="O56" s="1">
        <v>19.864000000000001</v>
      </c>
      <c r="P56" s="1">
        <v>0.91800000000000004</v>
      </c>
      <c r="Q56" s="1">
        <v>1.0999999999999999E-2</v>
      </c>
      <c r="R56" s="1">
        <v>82.52543</v>
      </c>
      <c r="S56" s="1">
        <v>34.799625072671354</v>
      </c>
      <c r="T56" s="1">
        <v>2.05186</v>
      </c>
      <c r="U56" s="1">
        <v>23978.5762</v>
      </c>
      <c r="V56" s="1">
        <v>38.5533</v>
      </c>
      <c r="W56" s="1">
        <v>8.6334999999999997</v>
      </c>
      <c r="X56" s="1">
        <v>22.958200000000001</v>
      </c>
      <c r="Y56" s="1">
        <v>1.0592999999999999</v>
      </c>
      <c r="Z56" s="1">
        <v>1.0538000000000001</v>
      </c>
      <c r="AA56" s="1">
        <v>5.9</v>
      </c>
      <c r="AB56" s="1">
        <v>832</v>
      </c>
      <c r="AC56" s="1">
        <v>0.9</v>
      </c>
      <c r="AD56" s="2">
        <v>4.72</v>
      </c>
      <c r="AE56" s="2">
        <v>108</v>
      </c>
      <c r="AF56" s="1">
        <v>0.57482</v>
      </c>
    </row>
    <row r="57" spans="1:32" x14ac:dyDescent="0.3">
      <c r="A57" s="1" t="s">
        <v>47</v>
      </c>
      <c r="B57" s="1" t="s">
        <v>23</v>
      </c>
      <c r="C57" s="1">
        <v>2845</v>
      </c>
      <c r="D57" s="1">
        <v>39</v>
      </c>
      <c r="E57" s="1">
        <v>50</v>
      </c>
      <c r="F57" s="1">
        <v>5</v>
      </c>
      <c r="G57" s="1">
        <v>25</v>
      </c>
      <c r="H57" s="1">
        <v>3</v>
      </c>
      <c r="I57" s="1">
        <v>2</v>
      </c>
      <c r="J57" s="1">
        <v>230</v>
      </c>
      <c r="K57" s="1">
        <v>1.2609999999999999</v>
      </c>
      <c r="L57" s="1">
        <v>179</v>
      </c>
      <c r="M57" s="1">
        <v>15.582000000000001</v>
      </c>
      <c r="N57" s="1">
        <v>4.2480000000000002</v>
      </c>
      <c r="O57" s="1">
        <v>19.829999999999998</v>
      </c>
      <c r="P57" s="1">
        <v>0.91400000000000003</v>
      </c>
      <c r="Q57" s="1">
        <v>0.02</v>
      </c>
      <c r="R57" s="1">
        <v>73.391030000000001</v>
      </c>
      <c r="S57" s="1">
        <v>34.799625072671354</v>
      </c>
      <c r="T57" s="1">
        <v>2.2086999999999999</v>
      </c>
      <c r="U57" s="1">
        <v>24305.556700000001</v>
      </c>
      <c r="V57" s="1">
        <v>43.488100000000003</v>
      </c>
      <c r="W57" s="1">
        <v>11.2286</v>
      </c>
      <c r="X57" s="1">
        <v>21.536000000000001</v>
      </c>
      <c r="Y57" s="1">
        <v>2.1187</v>
      </c>
      <c r="Z57" s="1">
        <v>0.63229999999999997</v>
      </c>
      <c r="AA57" s="1">
        <v>5.92</v>
      </c>
      <c r="AB57" s="1">
        <v>833</v>
      </c>
      <c r="AC57" s="1">
        <v>0.91</v>
      </c>
      <c r="AD57" s="2">
        <v>4.9400000000000004</v>
      </c>
      <c r="AE57" s="2">
        <v>119.8</v>
      </c>
      <c r="AF57" s="1">
        <v>0.49630799999999992</v>
      </c>
    </row>
    <row r="58" spans="1:32" x14ac:dyDescent="0.3">
      <c r="A58" s="1" t="s">
        <v>47</v>
      </c>
      <c r="B58" s="1" t="s">
        <v>23</v>
      </c>
      <c r="C58" s="1">
        <v>2845</v>
      </c>
      <c r="D58" s="1">
        <v>39</v>
      </c>
      <c r="E58" s="1">
        <v>50</v>
      </c>
      <c r="F58" s="1">
        <v>5</v>
      </c>
      <c r="G58" s="1">
        <v>25</v>
      </c>
      <c r="H58" s="1">
        <v>3</v>
      </c>
      <c r="I58" s="1">
        <v>2</v>
      </c>
      <c r="J58" s="1">
        <v>246</v>
      </c>
      <c r="K58" s="1">
        <v>1.2889999999999999</v>
      </c>
      <c r="L58" s="1">
        <v>175.9</v>
      </c>
      <c r="M58" s="1">
        <v>15.035</v>
      </c>
      <c r="N58" s="1">
        <v>4.3129999999999997</v>
      </c>
      <c r="O58" s="1">
        <v>19.347999999999999</v>
      </c>
      <c r="P58" s="1">
        <v>0.88100000000000001</v>
      </c>
      <c r="Q58" s="1">
        <v>3.2000000000000001E-2</v>
      </c>
      <c r="R58" s="1">
        <v>71.997640000000004</v>
      </c>
      <c r="S58" s="1">
        <v>34.799625072671354</v>
      </c>
      <c r="T58" s="1">
        <v>2.3395000000000001</v>
      </c>
      <c r="U58" s="1">
        <v>24485.075499999999</v>
      </c>
      <c r="V58" s="1">
        <v>41.637500000000003</v>
      </c>
      <c r="W58" s="1">
        <v>12.094099999999999</v>
      </c>
      <c r="X58" s="1">
        <v>22.145499999999998</v>
      </c>
      <c r="Y58" s="1">
        <v>1.0592999999999999</v>
      </c>
      <c r="Z58" s="1">
        <v>0.63229999999999997</v>
      </c>
      <c r="AA58" s="1">
        <v>5.92</v>
      </c>
      <c r="AB58" s="1">
        <v>832</v>
      </c>
      <c r="AC58" s="1">
        <v>0.9</v>
      </c>
      <c r="AD58" s="2">
        <v>5.09</v>
      </c>
      <c r="AE58" s="2">
        <v>184.7</v>
      </c>
      <c r="AF58" s="1">
        <v>0.70099999999999996</v>
      </c>
    </row>
    <row r="59" spans="1:32" x14ac:dyDescent="0.3">
      <c r="A59" s="1" t="s">
        <v>47</v>
      </c>
      <c r="B59" s="1" t="s">
        <v>24</v>
      </c>
      <c r="C59" s="1">
        <v>2846</v>
      </c>
      <c r="D59" s="1">
        <v>15</v>
      </c>
      <c r="E59" s="1">
        <v>27</v>
      </c>
      <c r="F59" s="1">
        <v>11</v>
      </c>
      <c r="G59" s="1">
        <v>35</v>
      </c>
      <c r="H59" s="1">
        <v>3</v>
      </c>
      <c r="I59" s="1">
        <v>2</v>
      </c>
      <c r="J59" s="1">
        <v>249</v>
      </c>
      <c r="K59" s="1">
        <v>1.625</v>
      </c>
      <c r="L59" s="1">
        <v>182</v>
      </c>
      <c r="M59" s="1">
        <v>7.5339999999999998</v>
      </c>
      <c r="N59" s="1">
        <v>4.0629999999999997</v>
      </c>
      <c r="O59" s="1">
        <v>11.597</v>
      </c>
      <c r="P59" s="1">
        <v>0.95199999999999996</v>
      </c>
      <c r="Q59" s="1">
        <v>0.312</v>
      </c>
      <c r="R59" s="1">
        <v>68.901240000000001</v>
      </c>
      <c r="S59" s="1">
        <v>29.166699999999999</v>
      </c>
      <c r="T59" s="1">
        <v>1.7118899999999999</v>
      </c>
      <c r="U59" s="1">
        <v>18032.017500000002</v>
      </c>
      <c r="V59" s="1">
        <v>27.4499</v>
      </c>
      <c r="W59" s="1">
        <v>8.6334999999999997</v>
      </c>
      <c r="X59" s="1">
        <v>20.723299999999998</v>
      </c>
      <c r="Y59" s="1">
        <v>15.89</v>
      </c>
      <c r="Z59" s="1">
        <v>1.3172999999999999</v>
      </c>
      <c r="AA59" s="1">
        <v>5.8</v>
      </c>
      <c r="AB59" s="1">
        <v>888</v>
      </c>
      <c r="AC59" s="1">
        <v>0.49</v>
      </c>
      <c r="AD59" s="2">
        <v>5.0999999999999996</v>
      </c>
      <c r="AE59" s="2">
        <v>152</v>
      </c>
      <c r="AF59" s="1">
        <v>0.61687999999999987</v>
      </c>
    </row>
    <row r="60" spans="1:32" x14ac:dyDescent="0.3">
      <c r="A60" s="1" t="s">
        <v>47</v>
      </c>
      <c r="B60" s="1" t="s">
        <v>24</v>
      </c>
      <c r="C60" s="1">
        <v>2846</v>
      </c>
      <c r="D60" s="1">
        <v>15</v>
      </c>
      <c r="E60" s="1">
        <v>27</v>
      </c>
      <c r="F60" s="1">
        <v>11</v>
      </c>
      <c r="G60" s="1">
        <v>35</v>
      </c>
      <c r="H60" s="1">
        <v>3</v>
      </c>
      <c r="I60" s="1">
        <v>2</v>
      </c>
      <c r="J60" s="1">
        <v>262.08</v>
      </c>
      <c r="K60" s="1">
        <v>1.5780000000000001</v>
      </c>
      <c r="L60" s="1">
        <v>188</v>
      </c>
      <c r="M60" s="1">
        <v>8.1560000000000006</v>
      </c>
      <c r="N60" s="1">
        <v>3.2959999999999998</v>
      </c>
      <c r="O60" s="1">
        <v>11.452</v>
      </c>
      <c r="P60" s="1">
        <v>0.95</v>
      </c>
      <c r="Q60" s="1">
        <v>0.312</v>
      </c>
      <c r="R60" s="1">
        <v>70.913899999999998</v>
      </c>
      <c r="S60" s="1">
        <v>32.051299999999998</v>
      </c>
      <c r="T60" s="1">
        <v>1.75112</v>
      </c>
      <c r="U60" s="1">
        <v>18471.1973</v>
      </c>
      <c r="V60" s="1">
        <v>25.290900000000001</v>
      </c>
      <c r="W60" s="1">
        <v>8.6334999999999997</v>
      </c>
      <c r="X60" s="1">
        <v>21.536000000000001</v>
      </c>
      <c r="Y60" s="1">
        <v>14.8307</v>
      </c>
      <c r="Z60" s="1">
        <v>1.1065</v>
      </c>
      <c r="AA60" s="1">
        <v>5.82</v>
      </c>
      <c r="AB60" s="1">
        <v>880</v>
      </c>
      <c r="AC60" s="1">
        <v>0.5</v>
      </c>
      <c r="AD60" s="2">
        <v>5</v>
      </c>
      <c r="AE60" s="2">
        <v>162</v>
      </c>
      <c r="AF60" s="1">
        <v>0.64491999999999994</v>
      </c>
    </row>
    <row r="61" spans="1:32" x14ac:dyDescent="0.3">
      <c r="A61" s="1" t="s">
        <v>47</v>
      </c>
      <c r="B61" s="1" t="s">
        <v>24</v>
      </c>
      <c r="C61" s="1">
        <v>2846</v>
      </c>
      <c r="D61" s="1">
        <v>15</v>
      </c>
      <c r="E61" s="1">
        <v>27</v>
      </c>
      <c r="F61" s="1">
        <v>11</v>
      </c>
      <c r="G61" s="1">
        <v>35</v>
      </c>
      <c r="H61" s="1">
        <v>3</v>
      </c>
      <c r="I61" s="1">
        <v>2</v>
      </c>
      <c r="J61" s="1">
        <v>247.68</v>
      </c>
      <c r="K61" s="1">
        <v>1.5720000000000001</v>
      </c>
      <c r="L61" s="1">
        <v>186</v>
      </c>
      <c r="M61" s="1">
        <v>7.665</v>
      </c>
      <c r="N61" s="1">
        <v>3.677</v>
      </c>
      <c r="O61" s="1">
        <v>11.342000000000001</v>
      </c>
      <c r="P61" s="1">
        <v>0.95299999999999996</v>
      </c>
      <c r="Q61" s="1">
        <v>0.33300000000000002</v>
      </c>
      <c r="R61" s="1">
        <v>74.629589999999993</v>
      </c>
      <c r="S61" s="1">
        <v>30.769200000000001</v>
      </c>
      <c r="T61" s="1">
        <v>1.75112</v>
      </c>
      <c r="U61" s="1">
        <v>17955.080900000001</v>
      </c>
      <c r="V61" s="1">
        <v>26.216200000000001</v>
      </c>
      <c r="W61" s="1">
        <v>10.363300000000001</v>
      </c>
      <c r="X61" s="1">
        <v>20.113800000000001</v>
      </c>
      <c r="Y61" s="1">
        <v>20.127400000000002</v>
      </c>
      <c r="Z61" s="1">
        <v>1.0538000000000001</v>
      </c>
      <c r="AA61" s="1">
        <v>5.82</v>
      </c>
      <c r="AB61" s="1">
        <v>872</v>
      </c>
      <c r="AC61" s="1">
        <v>0.5</v>
      </c>
      <c r="AD61" s="2">
        <v>5.0999999999999996</v>
      </c>
      <c r="AE61" s="2">
        <v>166</v>
      </c>
      <c r="AF61" s="1">
        <v>0.61687999999999987</v>
      </c>
    </row>
    <row r="62" spans="1:32" x14ac:dyDescent="0.3">
      <c r="A62" s="1" t="s">
        <v>47</v>
      </c>
      <c r="B62" s="1" t="s">
        <v>25</v>
      </c>
      <c r="C62" s="1">
        <v>2850</v>
      </c>
      <c r="D62" s="1">
        <v>19</v>
      </c>
      <c r="E62" s="1">
        <v>45</v>
      </c>
      <c r="F62" s="1">
        <v>8</v>
      </c>
      <c r="G62" s="1">
        <v>50</v>
      </c>
      <c r="H62" s="1">
        <v>3</v>
      </c>
      <c r="I62" s="1">
        <v>2</v>
      </c>
      <c r="J62" s="1">
        <v>178</v>
      </c>
      <c r="K62" s="1">
        <v>1.4430000000000001</v>
      </c>
      <c r="L62" s="1">
        <v>188</v>
      </c>
      <c r="M62" s="1">
        <v>16.576000000000001</v>
      </c>
      <c r="N62" s="1">
        <v>3.2970000000000002</v>
      </c>
      <c r="O62" s="1">
        <v>19.873000000000001</v>
      </c>
      <c r="P62" s="1">
        <v>1.4650000000000001</v>
      </c>
      <c r="Q62" s="1">
        <v>1.4999999999999999E-2</v>
      </c>
      <c r="R62" s="1">
        <v>51.716180000000001</v>
      </c>
      <c r="S62" s="1">
        <v>34.799625072671347</v>
      </c>
      <c r="T62" s="1">
        <v>1.8817999999999999</v>
      </c>
      <c r="U62" s="1">
        <v>7062.1395000000002</v>
      </c>
      <c r="V62" s="1">
        <v>19.122399999999999</v>
      </c>
      <c r="W62" s="1">
        <v>5.1769999999999996</v>
      </c>
      <c r="X62" s="1">
        <v>4.4696999999999996</v>
      </c>
      <c r="Y62" s="1">
        <v>18.008700000000001</v>
      </c>
      <c r="Z62" s="1">
        <v>1.2645999999999999</v>
      </c>
      <c r="AA62" s="1">
        <v>4.78</v>
      </c>
      <c r="AB62" s="1">
        <v>950</v>
      </c>
      <c r="AC62" s="1">
        <v>0.83</v>
      </c>
      <c r="AD62" s="2">
        <v>4.5999999999999996</v>
      </c>
      <c r="AE62" s="2">
        <v>96.3</v>
      </c>
      <c r="AF62" s="1">
        <v>0.82717999999999992</v>
      </c>
    </row>
    <row r="63" spans="1:32" x14ac:dyDescent="0.3">
      <c r="A63" s="1" t="s">
        <v>47</v>
      </c>
      <c r="B63" s="1" t="s">
        <v>25</v>
      </c>
      <c r="C63" s="1">
        <v>2850</v>
      </c>
      <c r="D63" s="1">
        <v>19</v>
      </c>
      <c r="E63" s="1">
        <v>45</v>
      </c>
      <c r="F63" s="1">
        <v>8</v>
      </c>
      <c r="G63" s="1">
        <v>50</v>
      </c>
      <c r="H63" s="1">
        <v>3</v>
      </c>
      <c r="I63" s="1">
        <v>2</v>
      </c>
      <c r="J63" s="1">
        <v>183.6</v>
      </c>
      <c r="K63" s="1">
        <v>1.429</v>
      </c>
      <c r="L63" s="1">
        <v>185.4</v>
      </c>
      <c r="M63" s="1">
        <v>16.11</v>
      </c>
      <c r="N63" s="1">
        <v>3.6190000000000002</v>
      </c>
      <c r="O63" s="1">
        <v>19.728999999999999</v>
      </c>
      <c r="P63" s="1">
        <v>1.429</v>
      </c>
      <c r="Q63" s="1">
        <v>4.1000000000000002E-2</v>
      </c>
      <c r="R63" s="1">
        <v>58.992739999999998</v>
      </c>
      <c r="S63" s="1">
        <v>34.799625072671347</v>
      </c>
      <c r="T63" s="1">
        <v>1.9340999999999999</v>
      </c>
      <c r="U63" s="1">
        <v>6385.7385000000004</v>
      </c>
      <c r="V63" s="1">
        <v>18.814</v>
      </c>
      <c r="W63" s="1">
        <v>9.4983000000000004</v>
      </c>
      <c r="X63" s="1">
        <v>3.4539</v>
      </c>
      <c r="Y63" s="1">
        <v>7.4154</v>
      </c>
      <c r="Z63" s="1">
        <v>1.0011000000000001</v>
      </c>
      <c r="AA63" s="1">
        <v>4.76</v>
      </c>
      <c r="AB63" s="1">
        <v>956</v>
      </c>
      <c r="AC63" s="1">
        <v>0.83</v>
      </c>
      <c r="AD63" s="2">
        <v>4.42</v>
      </c>
      <c r="AE63" s="2">
        <v>150</v>
      </c>
      <c r="AF63" s="1">
        <v>0.60005599999999992</v>
      </c>
    </row>
    <row r="64" spans="1:32" x14ac:dyDescent="0.3">
      <c r="A64" s="1" t="s">
        <v>47</v>
      </c>
      <c r="B64" s="1" t="s">
        <v>25</v>
      </c>
      <c r="C64" s="1">
        <v>2850</v>
      </c>
      <c r="D64" s="1">
        <v>19</v>
      </c>
      <c r="E64" s="1">
        <v>45</v>
      </c>
      <c r="F64" s="1">
        <v>8</v>
      </c>
      <c r="G64" s="1">
        <v>50</v>
      </c>
      <c r="H64" s="1">
        <v>3</v>
      </c>
      <c r="I64" s="1">
        <v>2</v>
      </c>
      <c r="J64" s="1">
        <v>193.2</v>
      </c>
      <c r="K64" s="1">
        <v>1.429</v>
      </c>
      <c r="L64" s="1">
        <v>184</v>
      </c>
      <c r="M64" s="1">
        <v>16.97</v>
      </c>
      <c r="N64" s="1">
        <v>3.331</v>
      </c>
      <c r="O64" s="1">
        <v>20.300999999999998</v>
      </c>
      <c r="P64" s="1">
        <v>1.395</v>
      </c>
      <c r="Q64" s="1">
        <v>4.2000000000000003E-2</v>
      </c>
      <c r="R64" s="1">
        <v>60.69576</v>
      </c>
      <c r="S64" s="1">
        <v>34.799625072671347</v>
      </c>
      <c r="T64" s="1">
        <v>1.80342</v>
      </c>
      <c r="U64" s="1">
        <v>6132.4888000000001</v>
      </c>
      <c r="V64" s="1">
        <v>17.580300000000001</v>
      </c>
      <c r="W64" s="1">
        <v>2.5874000000000001</v>
      </c>
      <c r="X64" s="1">
        <v>3.0476000000000001</v>
      </c>
      <c r="Y64" s="1">
        <v>7.4154</v>
      </c>
      <c r="Z64" s="1">
        <v>0.5796</v>
      </c>
      <c r="AA64" s="1">
        <v>4.78</v>
      </c>
      <c r="AB64" s="1">
        <v>962</v>
      </c>
      <c r="AC64" s="1">
        <v>0.83</v>
      </c>
      <c r="AD64" s="2">
        <v>4.6500000000000004</v>
      </c>
      <c r="AE64" s="2">
        <v>148.5</v>
      </c>
      <c r="AF64" s="1">
        <v>0.91690799999999995</v>
      </c>
    </row>
    <row r="65" spans="1:32" x14ac:dyDescent="0.3">
      <c r="A65" s="1" t="s">
        <v>47</v>
      </c>
      <c r="B65" s="1" t="s">
        <v>26</v>
      </c>
      <c r="C65" s="1">
        <v>2925</v>
      </c>
      <c r="D65" s="1">
        <v>24</v>
      </c>
      <c r="E65" s="1">
        <v>41</v>
      </c>
      <c r="F65" s="1">
        <v>6</v>
      </c>
      <c r="G65" s="1">
        <v>15</v>
      </c>
      <c r="H65" s="1">
        <v>3</v>
      </c>
      <c r="I65" s="1">
        <v>3</v>
      </c>
      <c r="J65" s="1">
        <v>203.6</v>
      </c>
      <c r="K65" s="1">
        <v>1.026</v>
      </c>
      <c r="L65" s="1">
        <v>104.7</v>
      </c>
      <c r="M65" s="1">
        <v>10.349</v>
      </c>
      <c r="N65" s="1">
        <v>0.374</v>
      </c>
      <c r="O65" s="1">
        <v>10.724</v>
      </c>
      <c r="P65" s="1">
        <v>1.022</v>
      </c>
      <c r="Q65" s="1">
        <v>0.2</v>
      </c>
      <c r="R65" s="1">
        <v>63.018059999999998</v>
      </c>
      <c r="S65" s="1">
        <v>17.538499999999999</v>
      </c>
      <c r="T65" s="1">
        <v>1.2019</v>
      </c>
      <c r="U65" s="1">
        <v>20865.849200000001</v>
      </c>
      <c r="V65" s="1">
        <v>65.0779</v>
      </c>
      <c r="W65" s="1">
        <v>3.4502999999999999</v>
      </c>
      <c r="X65" s="1">
        <v>18.285299999999999</v>
      </c>
      <c r="Y65" s="1">
        <v>4.2373000000000003</v>
      </c>
      <c r="Z65" s="1">
        <v>0.63229999999999997</v>
      </c>
      <c r="AA65" s="1">
        <v>4.72</v>
      </c>
      <c r="AB65" s="1">
        <v>299</v>
      </c>
      <c r="AC65" s="1">
        <v>0.84</v>
      </c>
      <c r="AD65" s="2">
        <v>5.15</v>
      </c>
      <c r="AE65" s="2">
        <v>148.30000000000001</v>
      </c>
      <c r="AF65" s="1">
        <v>0.79914000000000007</v>
      </c>
    </row>
    <row r="66" spans="1:32" x14ac:dyDescent="0.3">
      <c r="A66" s="1" t="s">
        <v>47</v>
      </c>
      <c r="B66" s="1" t="s">
        <v>26</v>
      </c>
      <c r="C66" s="1">
        <v>2925</v>
      </c>
      <c r="D66" s="1">
        <v>24</v>
      </c>
      <c r="E66" s="1">
        <v>41</v>
      </c>
      <c r="F66" s="1">
        <v>6</v>
      </c>
      <c r="G66" s="1">
        <v>15</v>
      </c>
      <c r="H66" s="1">
        <v>3</v>
      </c>
      <c r="I66" s="1">
        <v>3</v>
      </c>
      <c r="J66" s="1">
        <v>209.2</v>
      </c>
      <c r="K66" s="1">
        <v>1.0369999999999999</v>
      </c>
      <c r="L66" s="1">
        <v>103.2</v>
      </c>
      <c r="M66" s="1">
        <v>5.7</v>
      </c>
      <c r="N66" s="1">
        <v>2.2200000000000002</v>
      </c>
      <c r="O66" s="1">
        <v>7.92</v>
      </c>
      <c r="P66" s="1">
        <v>1.0109999999999999</v>
      </c>
      <c r="Q66" s="1">
        <v>0.20499999999999999</v>
      </c>
      <c r="R66" s="1">
        <v>66.733750000000001</v>
      </c>
      <c r="S66" s="1">
        <v>18.461500000000001</v>
      </c>
      <c r="T66" s="1">
        <v>1.4242300000000001</v>
      </c>
      <c r="U66" s="1">
        <v>21061.396400000001</v>
      </c>
      <c r="V66" s="1">
        <v>65.0779</v>
      </c>
      <c r="W66" s="1">
        <v>5.1769999999999996</v>
      </c>
      <c r="X66" s="1">
        <v>17.4726</v>
      </c>
      <c r="Y66" s="1">
        <v>15.89</v>
      </c>
      <c r="Z66" s="1">
        <v>0.47420000000000001</v>
      </c>
      <c r="AA66" s="1">
        <v>4.72</v>
      </c>
      <c r="AB66" s="1">
        <v>309</v>
      </c>
      <c r="AC66" s="1">
        <v>0.9</v>
      </c>
      <c r="AD66" s="2">
        <v>5.15</v>
      </c>
      <c r="AE66" s="2">
        <v>192.7</v>
      </c>
      <c r="AF66" s="1">
        <v>0.65333199999999991</v>
      </c>
    </row>
    <row r="67" spans="1:32" x14ac:dyDescent="0.3">
      <c r="A67" s="1" t="s">
        <v>47</v>
      </c>
      <c r="B67" s="1" t="s">
        <v>26</v>
      </c>
      <c r="C67" s="1">
        <v>2925</v>
      </c>
      <c r="D67" s="1">
        <v>24</v>
      </c>
      <c r="E67" s="1">
        <v>41</v>
      </c>
      <c r="F67" s="1">
        <v>6</v>
      </c>
      <c r="G67" s="1">
        <v>15</v>
      </c>
      <c r="H67" s="1">
        <v>3</v>
      </c>
      <c r="I67" s="1">
        <v>3</v>
      </c>
      <c r="J67" s="1">
        <v>195.6</v>
      </c>
      <c r="K67" s="1">
        <v>1.0369999999999999</v>
      </c>
      <c r="L67" s="1">
        <v>101.6</v>
      </c>
      <c r="M67" s="1">
        <v>5.9969999999999999</v>
      </c>
      <c r="N67" s="1">
        <v>2.073</v>
      </c>
      <c r="O67" s="1">
        <v>8.07</v>
      </c>
      <c r="P67" s="1">
        <v>1</v>
      </c>
      <c r="Q67" s="1">
        <v>0.22800000000000001</v>
      </c>
      <c r="R67" s="1">
        <v>69.056060000000002</v>
      </c>
      <c r="S67" s="1">
        <v>18.461500000000001</v>
      </c>
      <c r="T67" s="1">
        <v>1.1365700000000001</v>
      </c>
      <c r="U67" s="1">
        <v>21426.845300000001</v>
      </c>
      <c r="V67" s="1">
        <v>63.844200000000001</v>
      </c>
      <c r="W67" s="1">
        <v>6.9047999999999998</v>
      </c>
      <c r="X67" s="1">
        <v>18.8948</v>
      </c>
      <c r="Y67" s="1">
        <v>18.008700000000001</v>
      </c>
      <c r="Z67" s="1">
        <v>0.68500000000000005</v>
      </c>
      <c r="AA67" s="1">
        <v>4.71</v>
      </c>
      <c r="AB67" s="1">
        <v>304</v>
      </c>
      <c r="AC67" s="1">
        <v>0.69</v>
      </c>
      <c r="AD67" s="2">
        <v>5.1100000000000003</v>
      </c>
      <c r="AE67" s="2">
        <v>137.19999999999999</v>
      </c>
      <c r="AF67" s="1">
        <v>0.55519200000000002</v>
      </c>
    </row>
    <row r="68" spans="1:32" x14ac:dyDescent="0.3">
      <c r="A68" s="1" t="s">
        <v>47</v>
      </c>
      <c r="B68" s="1" t="s">
        <v>27</v>
      </c>
      <c r="C68" s="1">
        <v>2935</v>
      </c>
      <c r="D68" s="1">
        <v>11</v>
      </c>
      <c r="E68" s="1">
        <v>31</v>
      </c>
      <c r="F68" s="1">
        <v>5</v>
      </c>
      <c r="G68" s="1">
        <v>20</v>
      </c>
      <c r="H68" s="1">
        <v>3</v>
      </c>
      <c r="I68" s="1">
        <v>3</v>
      </c>
      <c r="J68" s="1">
        <v>155.68</v>
      </c>
      <c r="K68" s="1">
        <v>1.5269999999999999</v>
      </c>
      <c r="L68" s="1">
        <v>223</v>
      </c>
      <c r="M68" s="1">
        <v>5.7</v>
      </c>
      <c r="N68" s="1">
        <v>1.028</v>
      </c>
      <c r="O68" s="1">
        <v>6.7279999999999998</v>
      </c>
      <c r="P68" s="1">
        <v>0.90100000000000002</v>
      </c>
      <c r="Q68" s="1">
        <v>0.19800000000000001</v>
      </c>
      <c r="R68" s="1">
        <v>61.93432</v>
      </c>
      <c r="S68" s="1">
        <v>35.076900000000002</v>
      </c>
      <c r="T68" s="1">
        <v>1.52884</v>
      </c>
      <c r="U68" s="1">
        <v>25504.4856</v>
      </c>
      <c r="V68" s="1">
        <v>30.2257</v>
      </c>
      <c r="W68" s="1">
        <v>16.425699999999999</v>
      </c>
      <c r="X68" s="1">
        <v>18.082100000000001</v>
      </c>
      <c r="Y68" s="1">
        <v>12.712</v>
      </c>
      <c r="Z68" s="1">
        <v>0.79039999999999999</v>
      </c>
      <c r="AA68" s="1">
        <v>4.7</v>
      </c>
      <c r="AB68" s="1">
        <v>679</v>
      </c>
      <c r="AC68" s="1">
        <v>0.84</v>
      </c>
      <c r="AD68" s="2">
        <v>5.33</v>
      </c>
      <c r="AE68" s="2">
        <v>135</v>
      </c>
      <c r="AF68" s="1">
        <v>0.50471999999999995</v>
      </c>
    </row>
    <row r="69" spans="1:32" x14ac:dyDescent="0.3">
      <c r="A69" s="1" t="s">
        <v>47</v>
      </c>
      <c r="B69" s="1" t="s">
        <v>27</v>
      </c>
      <c r="C69" s="1">
        <v>2935</v>
      </c>
      <c r="D69" s="1">
        <v>11</v>
      </c>
      <c r="E69" s="1">
        <v>31</v>
      </c>
      <c r="F69" s="1">
        <v>5</v>
      </c>
      <c r="G69" s="1">
        <v>20</v>
      </c>
      <c r="H69" s="1">
        <v>3</v>
      </c>
      <c r="I69" s="1">
        <v>3</v>
      </c>
      <c r="J69" s="1">
        <v>142.24</v>
      </c>
      <c r="K69" s="1">
        <v>1.5209999999999999</v>
      </c>
      <c r="L69" s="1">
        <v>220</v>
      </c>
      <c r="M69" s="1">
        <v>5.75</v>
      </c>
      <c r="N69" s="1">
        <v>0.98</v>
      </c>
      <c r="O69" s="1">
        <v>6.73</v>
      </c>
      <c r="P69" s="1">
        <v>0.92100000000000004</v>
      </c>
      <c r="Q69" s="1">
        <v>0.192</v>
      </c>
      <c r="R69" s="1">
        <v>67.507850000000005</v>
      </c>
      <c r="S69" s="1">
        <v>35.076900000000002</v>
      </c>
      <c r="T69" s="1">
        <v>1.6334</v>
      </c>
      <c r="U69" s="1">
        <v>26305.908599999999</v>
      </c>
      <c r="V69" s="1">
        <v>29.608899999999998</v>
      </c>
      <c r="W69" s="1">
        <v>12.959899999999999</v>
      </c>
      <c r="X69" s="1">
        <v>16.6599</v>
      </c>
      <c r="Y69" s="1">
        <v>13.7714</v>
      </c>
      <c r="Z69" s="1">
        <v>0.73770000000000002</v>
      </c>
      <c r="AA69" s="1">
        <v>4.7</v>
      </c>
      <c r="AB69" s="1">
        <v>677</v>
      </c>
      <c r="AC69" s="1">
        <v>0.84</v>
      </c>
      <c r="AD69" s="2">
        <v>5.39</v>
      </c>
      <c r="AE69" s="2">
        <v>139</v>
      </c>
      <c r="AF69" s="1">
        <v>0.47667999999999999</v>
      </c>
    </row>
    <row r="70" spans="1:32" x14ac:dyDescent="0.3">
      <c r="A70" s="1" t="s">
        <v>47</v>
      </c>
      <c r="B70" s="1" t="s">
        <v>27</v>
      </c>
      <c r="C70" s="1">
        <v>2935</v>
      </c>
      <c r="D70" s="1">
        <v>11</v>
      </c>
      <c r="E70" s="1">
        <v>31</v>
      </c>
      <c r="F70" s="1">
        <v>5</v>
      </c>
      <c r="G70" s="1">
        <v>20</v>
      </c>
      <c r="H70" s="1">
        <v>3</v>
      </c>
      <c r="I70" s="1">
        <v>3</v>
      </c>
      <c r="J70" s="1">
        <v>127.84</v>
      </c>
      <c r="K70" s="1">
        <v>1.53</v>
      </c>
      <c r="L70" s="1">
        <v>219</v>
      </c>
      <c r="M70" s="1">
        <v>5.85</v>
      </c>
      <c r="N70" s="1">
        <v>0.747</v>
      </c>
      <c r="O70" s="1">
        <v>6.5970000000000004</v>
      </c>
      <c r="P70" s="1">
        <v>0.91100000000000003</v>
      </c>
      <c r="Q70" s="1">
        <v>0.16800000000000001</v>
      </c>
      <c r="R70" s="1">
        <v>70.913899999999998</v>
      </c>
      <c r="S70" s="1">
        <v>35.384599999999999</v>
      </c>
      <c r="T70" s="1">
        <v>1.5549900000000001</v>
      </c>
      <c r="U70" s="1">
        <v>25716.0612</v>
      </c>
      <c r="V70" s="1">
        <v>28.3752</v>
      </c>
      <c r="W70" s="1">
        <v>12.094099999999999</v>
      </c>
      <c r="X70" s="1">
        <v>16.863099999999999</v>
      </c>
      <c r="Y70" s="1">
        <v>15.89</v>
      </c>
      <c r="Z70" s="1">
        <v>0.68500000000000005</v>
      </c>
      <c r="AA70" s="1">
        <v>4.72</v>
      </c>
      <c r="AB70" s="1">
        <v>680</v>
      </c>
      <c r="AC70" s="1">
        <v>0.84</v>
      </c>
      <c r="AD70" s="2">
        <v>5.25</v>
      </c>
      <c r="AE70" s="2">
        <v>136</v>
      </c>
      <c r="AF70" s="1">
        <v>0.36451999999999996</v>
      </c>
    </row>
    <row r="71" spans="1:32" x14ac:dyDescent="0.3">
      <c r="A71" s="1" t="s">
        <v>47</v>
      </c>
      <c r="B71" s="1" t="s">
        <v>28</v>
      </c>
      <c r="C71" s="1">
        <v>2938</v>
      </c>
      <c r="D71" s="1">
        <v>36</v>
      </c>
      <c r="E71" s="1">
        <v>80</v>
      </c>
      <c r="F71" s="1">
        <v>5</v>
      </c>
      <c r="G71" s="1">
        <v>20</v>
      </c>
      <c r="H71" s="1">
        <v>3</v>
      </c>
      <c r="I71" s="1">
        <v>3</v>
      </c>
      <c r="J71" s="1">
        <v>130.80000000000001</v>
      </c>
      <c r="K71" s="1">
        <v>0.92700000000000005</v>
      </c>
      <c r="L71" s="1">
        <v>156.30000000000001</v>
      </c>
      <c r="M71" s="1">
        <v>12.611000000000001</v>
      </c>
      <c r="N71" s="1">
        <v>1.0880000000000001</v>
      </c>
      <c r="O71" s="1">
        <v>13.699</v>
      </c>
      <c r="P71" s="1">
        <v>0.871</v>
      </c>
      <c r="Q71" s="1">
        <v>8.5999999999999993E-2</v>
      </c>
      <c r="R71" s="1">
        <v>70.449439999999996</v>
      </c>
      <c r="S71" s="1">
        <v>18.769200000000001</v>
      </c>
      <c r="T71" s="1">
        <v>2.1041599999999998</v>
      </c>
      <c r="U71" s="1">
        <v>24648.5658</v>
      </c>
      <c r="V71" s="1">
        <v>28.683599999999998</v>
      </c>
      <c r="W71" s="1">
        <v>4.3136000000000001</v>
      </c>
      <c r="X71" s="1">
        <v>21.7392</v>
      </c>
      <c r="Y71" s="1">
        <v>6.3559999999999999</v>
      </c>
      <c r="Z71" s="1">
        <v>0.21079999999999999</v>
      </c>
      <c r="AA71" s="1">
        <v>4.8</v>
      </c>
      <c r="AB71" s="1">
        <v>1329</v>
      </c>
      <c r="AC71" s="1">
        <v>0.85</v>
      </c>
      <c r="AD71" s="2">
        <v>5.39</v>
      </c>
      <c r="AE71" s="2">
        <v>98.4</v>
      </c>
      <c r="AF71" s="1">
        <v>0.82717999999999992</v>
      </c>
    </row>
    <row r="72" spans="1:32" x14ac:dyDescent="0.3">
      <c r="A72" s="1" t="s">
        <v>47</v>
      </c>
      <c r="B72" s="1" t="s">
        <v>28</v>
      </c>
      <c r="C72" s="1">
        <v>2938</v>
      </c>
      <c r="D72" s="1">
        <v>36</v>
      </c>
      <c r="E72" s="1">
        <v>80</v>
      </c>
      <c r="F72" s="1">
        <v>5</v>
      </c>
      <c r="G72" s="1">
        <v>20</v>
      </c>
      <c r="H72" s="1">
        <v>3</v>
      </c>
      <c r="I72" s="1">
        <v>3</v>
      </c>
      <c r="J72" s="1">
        <v>159.19999999999999</v>
      </c>
      <c r="K72" s="1">
        <v>0.92500000000000004</v>
      </c>
      <c r="L72" s="1">
        <v>160.1</v>
      </c>
      <c r="M72" s="1">
        <v>11.95</v>
      </c>
      <c r="N72" s="1">
        <v>1.714</v>
      </c>
      <c r="O72" s="1">
        <v>13.664</v>
      </c>
      <c r="P72" s="1">
        <v>0.94599999999999995</v>
      </c>
      <c r="Q72" s="1">
        <v>0.105</v>
      </c>
      <c r="R72" s="1">
        <v>73.855490000000003</v>
      </c>
      <c r="S72" s="1">
        <v>18.769200000000001</v>
      </c>
      <c r="T72" s="1">
        <v>2.0516000000000001</v>
      </c>
      <c r="U72" s="1">
        <v>24696.6512</v>
      </c>
      <c r="V72" s="1">
        <v>25.599399999999999</v>
      </c>
      <c r="W72" s="1">
        <v>1.7246999999999999</v>
      </c>
      <c r="X72" s="1">
        <v>21.1297</v>
      </c>
      <c r="Y72" s="1">
        <v>8.4747000000000003</v>
      </c>
      <c r="Z72" s="1">
        <v>0.5796</v>
      </c>
      <c r="AA72" s="1">
        <v>4.8</v>
      </c>
      <c r="AB72" s="1">
        <v>1310</v>
      </c>
      <c r="AC72" s="1">
        <v>0.92</v>
      </c>
      <c r="AD72" s="2">
        <v>5.34</v>
      </c>
      <c r="AE72" s="2">
        <v>69.3</v>
      </c>
      <c r="AF72" s="1">
        <v>0.71221599999999996</v>
      </c>
    </row>
    <row r="73" spans="1:32" x14ac:dyDescent="0.3">
      <c r="A73" s="1" t="s">
        <v>47</v>
      </c>
      <c r="B73" s="1" t="s">
        <v>28</v>
      </c>
      <c r="C73" s="1">
        <v>2938</v>
      </c>
      <c r="D73" s="1">
        <v>36</v>
      </c>
      <c r="E73" s="1">
        <v>80</v>
      </c>
      <c r="F73" s="1">
        <v>5</v>
      </c>
      <c r="G73" s="1">
        <v>20</v>
      </c>
      <c r="H73" s="1">
        <v>3</v>
      </c>
      <c r="I73" s="1">
        <v>3</v>
      </c>
      <c r="J73" s="1">
        <v>149.6</v>
      </c>
      <c r="K73" s="1">
        <v>0.92500000000000004</v>
      </c>
      <c r="L73" s="1">
        <v>162</v>
      </c>
      <c r="M73" s="1">
        <v>12.877000000000001</v>
      </c>
      <c r="N73" s="1">
        <v>1.0940000000000001</v>
      </c>
      <c r="O73" s="1">
        <v>13.971</v>
      </c>
      <c r="P73" s="1">
        <v>0.88500000000000001</v>
      </c>
      <c r="Q73" s="1">
        <v>0.11799999999999999</v>
      </c>
      <c r="R73" s="1">
        <v>72.462109999999996</v>
      </c>
      <c r="S73" s="1">
        <v>18.461500000000001</v>
      </c>
      <c r="T73" s="1">
        <v>1.9734</v>
      </c>
      <c r="U73" s="1">
        <v>23516.9565</v>
      </c>
      <c r="V73" s="1">
        <v>25.599399999999999</v>
      </c>
      <c r="W73" s="1">
        <v>2.5874000000000001</v>
      </c>
      <c r="X73" s="1">
        <v>21.536000000000001</v>
      </c>
      <c r="Y73" s="1">
        <v>10.593400000000001</v>
      </c>
      <c r="Z73" s="1">
        <v>0.31609999999999999</v>
      </c>
      <c r="AA73" s="1">
        <v>4.82</v>
      </c>
      <c r="AB73" s="1">
        <v>1320</v>
      </c>
      <c r="AC73" s="1">
        <v>0.98</v>
      </c>
      <c r="AD73" s="2">
        <v>5.25</v>
      </c>
      <c r="AE73" s="2">
        <v>102.4</v>
      </c>
      <c r="AF73" s="1">
        <v>0.87484799999999996</v>
      </c>
    </row>
    <row r="74" spans="1:32" x14ac:dyDescent="0.3">
      <c r="A74" s="1" t="s">
        <v>47</v>
      </c>
      <c r="B74" s="1" t="s">
        <v>29</v>
      </c>
      <c r="C74" s="1">
        <v>3006</v>
      </c>
      <c r="D74" s="1">
        <v>25</v>
      </c>
      <c r="E74" s="1">
        <v>33</v>
      </c>
      <c r="F74" s="1">
        <v>7</v>
      </c>
      <c r="G74" s="1">
        <v>15</v>
      </c>
      <c r="H74" s="1">
        <v>2</v>
      </c>
      <c r="I74" s="1">
        <v>3</v>
      </c>
      <c r="J74" s="1">
        <v>183.68</v>
      </c>
      <c r="K74" s="1">
        <v>1.0089999999999999</v>
      </c>
      <c r="L74" s="1">
        <v>108.6</v>
      </c>
      <c r="M74" s="1">
        <v>12.606</v>
      </c>
      <c r="N74" s="1">
        <v>3.4980000000000002</v>
      </c>
      <c r="O74" s="1">
        <v>16.105</v>
      </c>
      <c r="P74" s="1">
        <v>0.80600000000000005</v>
      </c>
      <c r="Q74" s="1">
        <v>9.8000000000000004E-2</v>
      </c>
      <c r="R74" s="1">
        <v>56.515610000000002</v>
      </c>
      <c r="S74" s="1">
        <v>39.076900000000002</v>
      </c>
      <c r="T74" s="1">
        <v>0.62355000000000005</v>
      </c>
      <c r="U74" s="1">
        <v>16890.791099999999</v>
      </c>
      <c r="V74" s="1">
        <v>18.814</v>
      </c>
      <c r="W74" s="1">
        <v>7.7690000000000001</v>
      </c>
      <c r="X74" s="1">
        <v>22.754999999999999</v>
      </c>
      <c r="Y74" s="1">
        <v>9.5340000000000007</v>
      </c>
      <c r="Z74" s="1">
        <v>0.42149999999999999</v>
      </c>
      <c r="AA74" s="1">
        <v>4.6900000000000004</v>
      </c>
      <c r="AB74" s="1">
        <v>1020</v>
      </c>
      <c r="AC74" s="1">
        <v>0.78</v>
      </c>
      <c r="AD74" s="2">
        <v>4.92</v>
      </c>
      <c r="AE74" s="2">
        <v>109</v>
      </c>
      <c r="AF74" s="1">
        <v>0.70099999999999996</v>
      </c>
    </row>
    <row r="75" spans="1:32" x14ac:dyDescent="0.3">
      <c r="A75" s="1" t="s">
        <v>47</v>
      </c>
      <c r="B75" s="1" t="s">
        <v>29</v>
      </c>
      <c r="C75" s="1">
        <v>3006</v>
      </c>
      <c r="D75" s="1">
        <v>25</v>
      </c>
      <c r="E75" s="1">
        <v>33</v>
      </c>
      <c r="F75" s="1">
        <v>7</v>
      </c>
      <c r="G75" s="1">
        <v>15</v>
      </c>
      <c r="H75" s="1">
        <v>2</v>
      </c>
      <c r="I75" s="1">
        <v>3</v>
      </c>
      <c r="J75" s="1">
        <v>186.48</v>
      </c>
      <c r="K75" s="1">
        <v>1.0309999999999999</v>
      </c>
      <c r="L75" s="1">
        <v>110</v>
      </c>
      <c r="M75" s="1">
        <v>12.336</v>
      </c>
      <c r="N75" s="1">
        <v>4.5730000000000004</v>
      </c>
      <c r="O75" s="1">
        <v>16.908999999999999</v>
      </c>
      <c r="P75" s="1">
        <v>0.85899999999999999</v>
      </c>
      <c r="Q75" s="1">
        <v>0.10100000000000001</v>
      </c>
      <c r="R75" s="1">
        <v>68.901240000000001</v>
      </c>
      <c r="S75" s="1">
        <v>39.692300000000003</v>
      </c>
      <c r="T75" s="1">
        <v>0.60040000000000004</v>
      </c>
      <c r="U75" s="1">
        <v>18993.7251</v>
      </c>
      <c r="V75" s="1">
        <v>21.281400000000001</v>
      </c>
      <c r="W75" s="1">
        <v>8.6334999999999997</v>
      </c>
      <c r="X75" s="1">
        <v>25.599399999999999</v>
      </c>
      <c r="Y75" s="1">
        <v>9.5340000000000007</v>
      </c>
      <c r="Z75" s="1">
        <v>0.47420000000000001</v>
      </c>
      <c r="AA75" s="1">
        <v>4.7</v>
      </c>
      <c r="AB75" s="1">
        <v>1020</v>
      </c>
      <c r="AC75" s="1">
        <v>0.78</v>
      </c>
      <c r="AD75" s="2">
        <v>4.96</v>
      </c>
      <c r="AE75" s="2">
        <v>124</v>
      </c>
      <c r="AF75" s="1">
        <v>0.72903999999999991</v>
      </c>
    </row>
    <row r="76" spans="1:32" x14ac:dyDescent="0.3">
      <c r="A76" s="1" t="s">
        <v>47</v>
      </c>
      <c r="B76" s="1" t="s">
        <v>29</v>
      </c>
      <c r="C76" s="1">
        <v>3006</v>
      </c>
      <c r="D76" s="1">
        <v>25</v>
      </c>
      <c r="E76" s="1">
        <v>33</v>
      </c>
      <c r="F76" s="1">
        <v>7</v>
      </c>
      <c r="G76" s="1">
        <v>15</v>
      </c>
      <c r="H76" s="1">
        <v>2</v>
      </c>
      <c r="I76" s="1">
        <v>3</v>
      </c>
      <c r="J76" s="1">
        <v>199.4</v>
      </c>
      <c r="K76" s="1">
        <v>1.0229999999999999</v>
      </c>
      <c r="L76" s="1">
        <v>110</v>
      </c>
      <c r="M76" s="1">
        <v>12.193</v>
      </c>
      <c r="N76" s="1">
        <v>4.6210000000000004</v>
      </c>
      <c r="O76" s="1">
        <v>16.812999999999999</v>
      </c>
      <c r="P76" s="1">
        <v>0.82199999999999995</v>
      </c>
      <c r="Q76" s="1">
        <v>0.106</v>
      </c>
      <c r="R76" s="1">
        <v>62.863239999999998</v>
      </c>
      <c r="S76" s="1">
        <v>39.692300000000003</v>
      </c>
      <c r="T76" s="1">
        <v>0.60046999999999995</v>
      </c>
      <c r="U76" s="1">
        <v>18032.017500000002</v>
      </c>
      <c r="V76" s="1">
        <v>20.047699999999999</v>
      </c>
      <c r="W76" s="1">
        <v>7.7690000000000001</v>
      </c>
      <c r="X76" s="1">
        <v>22.958200000000001</v>
      </c>
      <c r="Y76" s="1">
        <v>8.4747000000000003</v>
      </c>
      <c r="Z76" s="1">
        <v>0.5796</v>
      </c>
      <c r="AA76" s="1">
        <v>4.71</v>
      </c>
      <c r="AB76" s="1">
        <v>1050</v>
      </c>
      <c r="AC76" s="1">
        <v>0.77</v>
      </c>
      <c r="AD76" s="2">
        <v>4.92</v>
      </c>
      <c r="AE76" s="2">
        <v>122</v>
      </c>
      <c r="AF76" s="1">
        <v>0.72903999999999991</v>
      </c>
    </row>
    <row r="77" spans="1:32" x14ac:dyDescent="0.3">
      <c r="A77" s="1" t="s">
        <v>47</v>
      </c>
      <c r="B77" s="1" t="s">
        <v>30</v>
      </c>
      <c r="C77" s="1">
        <v>3010</v>
      </c>
      <c r="D77" s="1">
        <v>22</v>
      </c>
      <c r="E77" s="1">
        <v>30</v>
      </c>
      <c r="F77" s="1">
        <v>10</v>
      </c>
      <c r="G77" s="1">
        <v>25</v>
      </c>
      <c r="H77" s="1">
        <v>3</v>
      </c>
      <c r="I77" s="1">
        <v>3</v>
      </c>
      <c r="J77" s="1">
        <v>226.76</v>
      </c>
      <c r="K77" s="1">
        <v>0.86899999999999999</v>
      </c>
      <c r="L77" s="1">
        <v>116.5</v>
      </c>
      <c r="M77" s="1">
        <v>15.535</v>
      </c>
      <c r="N77" s="1">
        <v>4.0190000000000001</v>
      </c>
      <c r="O77" s="1">
        <v>19.553999999999998</v>
      </c>
      <c r="P77" s="1">
        <v>0.72099999999999997</v>
      </c>
      <c r="Q77" s="1">
        <v>0.19900000000000001</v>
      </c>
      <c r="R77" s="1">
        <v>71.997640000000004</v>
      </c>
      <c r="S77" s="1">
        <v>47.692300000000003</v>
      </c>
      <c r="T77" s="1">
        <v>0.90120999999999996</v>
      </c>
      <c r="U77" s="1">
        <v>10668.543</v>
      </c>
      <c r="V77" s="1">
        <v>18.197099999999999</v>
      </c>
      <c r="W77" s="1">
        <v>13.826000000000001</v>
      </c>
      <c r="X77" s="1">
        <v>18.082100000000001</v>
      </c>
      <c r="Y77" s="1">
        <v>8.4747000000000003</v>
      </c>
      <c r="Z77" s="1">
        <v>0.63229999999999997</v>
      </c>
      <c r="AA77" s="1">
        <v>4.8</v>
      </c>
      <c r="AB77" s="1">
        <v>926</v>
      </c>
      <c r="AC77" s="1">
        <v>0.73</v>
      </c>
      <c r="AD77" s="2">
        <v>5.2</v>
      </c>
      <c r="AE77" s="2">
        <v>119</v>
      </c>
      <c r="AF77" s="1">
        <v>0.70099999999999996</v>
      </c>
    </row>
    <row r="78" spans="1:32" x14ac:dyDescent="0.3">
      <c r="A78" s="1" t="s">
        <v>47</v>
      </c>
      <c r="B78" s="1" t="s">
        <v>30</v>
      </c>
      <c r="C78" s="1">
        <v>3010</v>
      </c>
      <c r="D78" s="1">
        <v>22</v>
      </c>
      <c r="E78" s="1">
        <v>30</v>
      </c>
      <c r="F78" s="1">
        <v>10</v>
      </c>
      <c r="G78" s="1">
        <v>25</v>
      </c>
      <c r="H78" s="1">
        <v>3</v>
      </c>
      <c r="I78" s="1">
        <v>2</v>
      </c>
      <c r="J78" s="1">
        <v>209.12</v>
      </c>
      <c r="K78" s="1">
        <v>0.91800000000000004</v>
      </c>
      <c r="L78" s="1">
        <v>119</v>
      </c>
      <c r="M78" s="1">
        <v>15.484999999999999</v>
      </c>
      <c r="N78" s="1">
        <v>4.0670000000000002</v>
      </c>
      <c r="O78" s="1">
        <v>19.552</v>
      </c>
      <c r="P78" s="1">
        <v>0.72699999999999998</v>
      </c>
      <c r="Q78" s="1">
        <v>0.20599999999999999</v>
      </c>
      <c r="R78" s="1">
        <v>72.152460000000005</v>
      </c>
      <c r="S78" s="1">
        <v>44.923099999999998</v>
      </c>
      <c r="T78" s="1">
        <v>0.90120999999999996</v>
      </c>
      <c r="U78" s="1">
        <v>10476.201499999999</v>
      </c>
      <c r="V78" s="1">
        <v>18.197099999999999</v>
      </c>
      <c r="W78" s="1">
        <v>11.2286</v>
      </c>
      <c r="X78" s="1">
        <v>16.253599999999999</v>
      </c>
      <c r="Y78" s="1">
        <v>10.593400000000001</v>
      </c>
      <c r="Z78" s="1">
        <v>0.84299999999999997</v>
      </c>
      <c r="AA78" s="1">
        <v>4.82</v>
      </c>
      <c r="AB78" s="1">
        <v>920</v>
      </c>
      <c r="AC78" s="1">
        <v>0.71</v>
      </c>
      <c r="AD78" s="2">
        <v>5.12</v>
      </c>
      <c r="AE78" s="2">
        <v>136</v>
      </c>
      <c r="AF78" s="1">
        <v>0.61687999999999987</v>
      </c>
    </row>
    <row r="79" spans="1:32" x14ac:dyDescent="0.3">
      <c r="A79" s="1" t="s">
        <v>47</v>
      </c>
      <c r="B79" s="1" t="s">
        <v>30</v>
      </c>
      <c r="C79" s="1">
        <v>3010</v>
      </c>
      <c r="D79" s="1">
        <v>22</v>
      </c>
      <c r="E79" s="1">
        <v>30</v>
      </c>
      <c r="F79" s="1">
        <v>10</v>
      </c>
      <c r="G79" s="1">
        <v>25</v>
      </c>
      <c r="H79" s="1">
        <v>3</v>
      </c>
      <c r="I79" s="1">
        <v>2</v>
      </c>
      <c r="J79" s="1">
        <v>199.72</v>
      </c>
      <c r="K79" s="1">
        <v>0.90100000000000002</v>
      </c>
      <c r="L79" s="1">
        <v>117</v>
      </c>
      <c r="M79" s="1">
        <v>15.167</v>
      </c>
      <c r="N79" s="1">
        <v>4.3849999999999998</v>
      </c>
      <c r="O79" s="1">
        <v>19.552</v>
      </c>
      <c r="P79" s="1">
        <v>0.70599999999999996</v>
      </c>
      <c r="Q79" s="1">
        <v>0.25</v>
      </c>
      <c r="R79" s="1">
        <v>73.081389999999999</v>
      </c>
      <c r="S79" s="1">
        <v>45.846200000000003</v>
      </c>
      <c r="T79" s="1">
        <v>0.86197999999999997</v>
      </c>
      <c r="U79" s="1">
        <v>10771.125099999999</v>
      </c>
      <c r="V79" s="1">
        <v>18.505600000000001</v>
      </c>
      <c r="W79" s="1">
        <v>10.363300000000001</v>
      </c>
      <c r="X79" s="1">
        <v>14.6282</v>
      </c>
      <c r="Y79" s="1">
        <v>11.652699999999999</v>
      </c>
      <c r="Z79" s="1">
        <v>0.63229999999999997</v>
      </c>
      <c r="AA79" s="1">
        <v>4.8099999999999996</v>
      </c>
      <c r="AB79" s="1">
        <v>925</v>
      </c>
      <c r="AC79" s="1">
        <v>0.72</v>
      </c>
      <c r="AD79" s="2">
        <v>5.16</v>
      </c>
      <c r="AE79" s="2">
        <v>132</v>
      </c>
      <c r="AF79" s="1">
        <v>0.58883999999999992</v>
      </c>
    </row>
    <row r="80" spans="1:32" x14ac:dyDescent="0.3">
      <c r="A80" s="1" t="s">
        <v>47</v>
      </c>
      <c r="B80" s="1" t="s">
        <v>31</v>
      </c>
      <c r="C80" s="1">
        <v>3016</v>
      </c>
      <c r="D80" s="1">
        <v>20</v>
      </c>
      <c r="E80" s="1">
        <v>60</v>
      </c>
      <c r="F80" s="1">
        <v>5</v>
      </c>
      <c r="G80" s="1">
        <v>10</v>
      </c>
      <c r="H80" s="1">
        <v>2</v>
      </c>
      <c r="I80" s="1">
        <v>2</v>
      </c>
      <c r="J80" s="1">
        <v>146.08000000000001</v>
      </c>
      <c r="K80" s="1">
        <v>0.82699999999999996</v>
      </c>
      <c r="L80" s="1">
        <v>145.6</v>
      </c>
      <c r="M80" s="1">
        <v>13.223000000000001</v>
      </c>
      <c r="N80" s="1">
        <v>0.441</v>
      </c>
      <c r="O80" s="1">
        <v>13.664</v>
      </c>
      <c r="P80" s="1">
        <v>0.96599999999999997</v>
      </c>
      <c r="Q80" s="1">
        <v>0.188</v>
      </c>
      <c r="R80" s="1">
        <v>79.119380000000007</v>
      </c>
      <c r="S80" s="1">
        <v>62.461500000000001</v>
      </c>
      <c r="T80" s="1">
        <v>0.57430000000000003</v>
      </c>
      <c r="U80" s="1">
        <v>10479.4071</v>
      </c>
      <c r="V80" s="1">
        <v>7.0937999999999999</v>
      </c>
      <c r="W80" s="1">
        <v>6.9047999999999998</v>
      </c>
      <c r="X80" s="1">
        <v>7.3170999999999999</v>
      </c>
      <c r="Y80" s="1">
        <v>9.5340000000000007</v>
      </c>
      <c r="Z80" s="1">
        <v>0.47420000000000001</v>
      </c>
      <c r="AA80" s="1">
        <v>5.2</v>
      </c>
      <c r="AB80" s="1">
        <v>562</v>
      </c>
      <c r="AC80" s="1">
        <v>0.79</v>
      </c>
      <c r="AD80" s="2">
        <v>5.09</v>
      </c>
      <c r="AE80" s="2">
        <v>101</v>
      </c>
      <c r="AF80" s="1">
        <v>0.61687999999999987</v>
      </c>
    </row>
    <row r="81" spans="1:32" x14ac:dyDescent="0.3">
      <c r="A81" s="1" t="s">
        <v>47</v>
      </c>
      <c r="B81" s="1" t="s">
        <v>31</v>
      </c>
      <c r="C81" s="1">
        <v>3016</v>
      </c>
      <c r="D81" s="1">
        <v>20</v>
      </c>
      <c r="E81" s="1">
        <v>60</v>
      </c>
      <c r="F81" s="1">
        <v>5</v>
      </c>
      <c r="G81" s="1">
        <v>10</v>
      </c>
      <c r="H81" s="1">
        <v>2</v>
      </c>
      <c r="I81" s="1">
        <v>3</v>
      </c>
      <c r="J81" s="1">
        <v>140.84</v>
      </c>
      <c r="K81" s="1">
        <v>0.81299999999999994</v>
      </c>
      <c r="L81" s="1">
        <v>146</v>
      </c>
      <c r="M81" s="1">
        <v>13.179</v>
      </c>
      <c r="N81" s="1">
        <v>0.39400000000000002</v>
      </c>
      <c r="O81" s="1">
        <v>13.573</v>
      </c>
      <c r="P81" s="1">
        <v>0.97299999999999998</v>
      </c>
      <c r="Q81" s="1">
        <v>0.16900000000000001</v>
      </c>
      <c r="R81" s="1">
        <v>79.893479999999997</v>
      </c>
      <c r="S81" s="1">
        <v>60.307699999999997</v>
      </c>
      <c r="T81" s="1">
        <v>0.65269999999999995</v>
      </c>
      <c r="U81" s="1">
        <v>10293.477000000001</v>
      </c>
      <c r="V81" s="1">
        <v>6.4768999999999997</v>
      </c>
      <c r="W81" s="1">
        <v>6.9047999999999998</v>
      </c>
      <c r="X81" s="1">
        <v>6.0951000000000004</v>
      </c>
      <c r="Y81" s="1">
        <v>11.652699999999999</v>
      </c>
      <c r="Z81" s="1">
        <v>0.42149999999999999</v>
      </c>
      <c r="AA81" s="1">
        <v>5.2</v>
      </c>
      <c r="AB81" s="1">
        <v>560</v>
      </c>
      <c r="AC81" s="1">
        <v>0.77</v>
      </c>
      <c r="AD81" s="2">
        <v>5.12</v>
      </c>
      <c r="AE81" s="2">
        <v>111</v>
      </c>
      <c r="AF81" s="1">
        <v>0.61687999999999987</v>
      </c>
    </row>
    <row r="82" spans="1:32" x14ac:dyDescent="0.3">
      <c r="A82" s="1" t="s">
        <v>47</v>
      </c>
      <c r="B82" s="1" t="s">
        <v>31</v>
      </c>
      <c r="C82" s="1">
        <v>3016</v>
      </c>
      <c r="D82" s="1">
        <v>20</v>
      </c>
      <c r="E82" s="1">
        <v>60</v>
      </c>
      <c r="F82" s="1">
        <v>5</v>
      </c>
      <c r="G82" s="1">
        <v>10</v>
      </c>
      <c r="H82" s="1">
        <v>2</v>
      </c>
      <c r="I82" s="1">
        <v>3</v>
      </c>
      <c r="J82" s="1">
        <v>147.91999999999999</v>
      </c>
      <c r="K82" s="1">
        <v>0.81499999999999995</v>
      </c>
      <c r="L82" s="1">
        <v>147</v>
      </c>
      <c r="M82" s="1">
        <v>13.173999999999999</v>
      </c>
      <c r="N82" s="1">
        <v>0.41899999999999998</v>
      </c>
      <c r="O82" s="1">
        <v>13.593</v>
      </c>
      <c r="P82" s="1">
        <v>0.97799999999999998</v>
      </c>
      <c r="Q82" s="1">
        <v>0.21</v>
      </c>
      <c r="R82" s="1">
        <v>85.776650000000004</v>
      </c>
      <c r="S82" s="1">
        <v>59.384599999999999</v>
      </c>
      <c r="T82" s="1">
        <v>0.65269999999999995</v>
      </c>
      <c r="U82" s="1">
        <v>9684.3955000000005</v>
      </c>
      <c r="V82" s="1">
        <v>6.4768999999999997</v>
      </c>
      <c r="W82" s="1">
        <v>6.0407999999999999</v>
      </c>
      <c r="X82" s="1">
        <v>6.9077999999999999</v>
      </c>
      <c r="Y82" s="1">
        <v>9.5340000000000007</v>
      </c>
      <c r="Z82" s="1">
        <v>0.36880000000000002</v>
      </c>
      <c r="AA82" s="1">
        <v>5.2</v>
      </c>
      <c r="AB82" s="1">
        <v>562</v>
      </c>
      <c r="AC82" s="1">
        <v>0.78</v>
      </c>
      <c r="AD82" s="2">
        <v>5.12</v>
      </c>
      <c r="AE82" s="2">
        <v>109</v>
      </c>
      <c r="AF82" s="1">
        <v>0.61687999999999987</v>
      </c>
    </row>
    <row r="83" spans="1:32" x14ac:dyDescent="0.3">
      <c r="A83" s="1" t="s">
        <v>47</v>
      </c>
      <c r="B83" s="1" t="s">
        <v>32</v>
      </c>
      <c r="C83" s="1">
        <v>3099</v>
      </c>
      <c r="D83" s="1">
        <v>30</v>
      </c>
      <c r="E83" s="1">
        <v>50</v>
      </c>
      <c r="F83" s="1">
        <v>10</v>
      </c>
      <c r="G83" s="1">
        <v>25</v>
      </c>
      <c r="H83" s="1">
        <v>2</v>
      </c>
      <c r="I83" s="1">
        <v>3</v>
      </c>
      <c r="J83" s="1">
        <v>115.68</v>
      </c>
      <c r="K83" s="1">
        <v>0.72899999999999998</v>
      </c>
      <c r="L83" s="1">
        <v>123.8</v>
      </c>
      <c r="M83" s="1">
        <v>14.26</v>
      </c>
      <c r="N83" s="1">
        <v>3.2519999999999998</v>
      </c>
      <c r="O83" s="1">
        <v>17.512</v>
      </c>
      <c r="P83" s="1">
        <v>1.05</v>
      </c>
      <c r="Q83" s="1">
        <v>0.22500000000000001</v>
      </c>
      <c r="R83" s="1">
        <v>54.657769999999999</v>
      </c>
      <c r="S83" s="1">
        <v>44.985700000000001</v>
      </c>
      <c r="T83" s="1">
        <v>0.94044000000000005</v>
      </c>
      <c r="U83" s="1">
        <v>6462.6751000000004</v>
      </c>
      <c r="V83" s="1">
        <v>11.7202</v>
      </c>
      <c r="W83" s="1">
        <v>5.1769999999999996</v>
      </c>
      <c r="X83" s="1">
        <v>11.1744</v>
      </c>
      <c r="Y83" s="1">
        <v>7.4154</v>
      </c>
      <c r="Z83" s="1">
        <v>0.79039999999999999</v>
      </c>
      <c r="AA83" s="1">
        <v>5.62</v>
      </c>
      <c r="AB83" s="1">
        <v>339</v>
      </c>
      <c r="AC83" s="1">
        <v>0.69</v>
      </c>
      <c r="AD83" s="1">
        <v>5.32</v>
      </c>
      <c r="AE83" s="1">
        <v>106</v>
      </c>
      <c r="AF83" s="1">
        <v>0.5327599999999999</v>
      </c>
    </row>
    <row r="84" spans="1:32" x14ac:dyDescent="0.3">
      <c r="A84" s="1" t="s">
        <v>47</v>
      </c>
      <c r="B84" s="1" t="s">
        <v>32</v>
      </c>
      <c r="C84" s="1">
        <v>3099</v>
      </c>
      <c r="D84" s="1">
        <v>30</v>
      </c>
      <c r="E84" s="1">
        <v>50</v>
      </c>
      <c r="F84" s="1">
        <v>10</v>
      </c>
      <c r="G84" s="1">
        <v>25</v>
      </c>
      <c r="H84" s="1">
        <v>2</v>
      </c>
      <c r="I84" s="1">
        <v>3</v>
      </c>
      <c r="J84" s="1">
        <v>115.56</v>
      </c>
      <c r="K84" s="1">
        <v>0.70299999999999996</v>
      </c>
      <c r="L84" s="1">
        <v>125.6</v>
      </c>
      <c r="M84" s="1">
        <v>14.15</v>
      </c>
      <c r="N84" s="1">
        <v>3.9950000000000001</v>
      </c>
      <c r="O84" s="1">
        <v>18.145</v>
      </c>
      <c r="P84" s="1">
        <v>1.0940000000000001</v>
      </c>
      <c r="Q84" s="1">
        <v>0.26</v>
      </c>
      <c r="R84" s="1">
        <v>56.980069999999998</v>
      </c>
      <c r="S84" s="1">
        <v>46.704900000000002</v>
      </c>
      <c r="T84" s="1">
        <v>1.1234</v>
      </c>
      <c r="U84" s="1">
        <v>6847.3581000000004</v>
      </c>
      <c r="V84" s="1">
        <v>11.7202</v>
      </c>
      <c r="W84" s="1">
        <v>5.1769999999999996</v>
      </c>
      <c r="X84" s="1">
        <v>10.1585</v>
      </c>
      <c r="Y84" s="1">
        <v>6.3559999999999999</v>
      </c>
      <c r="Z84" s="1">
        <v>0.63229999999999997</v>
      </c>
      <c r="AA84" s="1">
        <v>5.6</v>
      </c>
      <c r="AB84" s="1">
        <v>333</v>
      </c>
      <c r="AC84" s="1">
        <v>0.69</v>
      </c>
      <c r="AD84" s="1">
        <v>5.28</v>
      </c>
      <c r="AE84" s="1">
        <v>128</v>
      </c>
      <c r="AF84" s="1">
        <v>0.44863999999999998</v>
      </c>
    </row>
    <row r="85" spans="1:32" x14ac:dyDescent="0.3">
      <c r="A85" s="1" t="s">
        <v>47</v>
      </c>
      <c r="B85" s="1" t="s">
        <v>32</v>
      </c>
      <c r="C85" s="1">
        <v>3099</v>
      </c>
      <c r="D85" s="1">
        <v>30</v>
      </c>
      <c r="E85" s="1">
        <v>50</v>
      </c>
      <c r="F85" s="1">
        <v>10</v>
      </c>
      <c r="G85" s="1">
        <v>25</v>
      </c>
      <c r="H85" s="1">
        <v>2</v>
      </c>
      <c r="I85" s="1">
        <v>3</v>
      </c>
      <c r="J85" s="1">
        <v>124.8</v>
      </c>
      <c r="K85" s="1">
        <v>0.70299999999999996</v>
      </c>
      <c r="L85" s="1">
        <v>126.1</v>
      </c>
      <c r="M85" s="1">
        <v>14.175000000000001</v>
      </c>
      <c r="N85" s="1">
        <v>3.9359999999999999</v>
      </c>
      <c r="O85" s="1">
        <v>18.111000000000001</v>
      </c>
      <c r="P85" s="1">
        <v>1.05</v>
      </c>
      <c r="Q85" s="1">
        <v>0.215</v>
      </c>
      <c r="R85" s="1">
        <v>62.243960000000001</v>
      </c>
      <c r="S85" s="1">
        <v>44.985700000000001</v>
      </c>
      <c r="T85" s="1">
        <v>1.1234</v>
      </c>
      <c r="U85" s="1">
        <v>6472.2920999999997</v>
      </c>
      <c r="V85" s="1">
        <v>12.028600000000001</v>
      </c>
      <c r="W85" s="1">
        <v>6.0407999999999999</v>
      </c>
      <c r="X85" s="1">
        <v>10.5648</v>
      </c>
      <c r="Y85" s="1">
        <v>7.4154</v>
      </c>
      <c r="Z85" s="1">
        <v>0.63229999999999997</v>
      </c>
      <c r="AA85" s="1">
        <v>5.58</v>
      </c>
      <c r="AB85" s="1">
        <v>335</v>
      </c>
      <c r="AC85" s="1">
        <v>0.68</v>
      </c>
      <c r="AD85" s="1">
        <v>5.26</v>
      </c>
      <c r="AE85" s="1">
        <v>122</v>
      </c>
      <c r="AF85" s="1">
        <v>0.50471999999999995</v>
      </c>
    </row>
    <row r="86" spans="1:32" x14ac:dyDescent="0.3">
      <c r="A86" s="1" t="s">
        <v>47</v>
      </c>
      <c r="B86" s="1" t="s">
        <v>33</v>
      </c>
      <c r="C86" s="1">
        <v>3102</v>
      </c>
      <c r="D86" s="1">
        <v>25</v>
      </c>
      <c r="E86" s="1">
        <v>60</v>
      </c>
      <c r="F86" s="1">
        <v>8</v>
      </c>
      <c r="G86" s="1">
        <v>25</v>
      </c>
      <c r="H86" s="1">
        <v>2</v>
      </c>
      <c r="I86" s="1">
        <v>3</v>
      </c>
      <c r="J86" s="1">
        <v>106.68</v>
      </c>
      <c r="K86" s="1">
        <v>0.68600000000000005</v>
      </c>
      <c r="L86" s="1">
        <v>113</v>
      </c>
      <c r="M86" s="1">
        <v>21.905999999999999</v>
      </c>
      <c r="N86" s="1">
        <v>1.9850000000000001</v>
      </c>
      <c r="O86" s="1">
        <v>23.890999999999998</v>
      </c>
      <c r="P86" s="1">
        <v>0.86599999999999999</v>
      </c>
      <c r="Q86" s="1">
        <v>0.45</v>
      </c>
      <c r="R86" s="1">
        <v>77.725999999999999</v>
      </c>
      <c r="S86" s="1">
        <v>43.266500000000001</v>
      </c>
      <c r="T86" s="1">
        <v>0.43048999999999998</v>
      </c>
      <c r="U86" s="1">
        <v>6167.7514000000001</v>
      </c>
      <c r="V86" s="1">
        <v>12.953900000000001</v>
      </c>
      <c r="W86" s="1">
        <v>7.7690000000000001</v>
      </c>
      <c r="X86" s="1">
        <v>8.5330999999999992</v>
      </c>
      <c r="Y86" s="1">
        <v>4.2373000000000003</v>
      </c>
      <c r="Z86" s="1">
        <v>0.73770000000000002</v>
      </c>
      <c r="AA86" s="1">
        <v>5.26</v>
      </c>
      <c r="AB86" s="1">
        <v>452</v>
      </c>
      <c r="AC86" s="1">
        <v>0.6</v>
      </c>
      <c r="AD86" s="1">
        <v>5.2</v>
      </c>
      <c r="AE86" s="1">
        <v>116</v>
      </c>
      <c r="AF86" s="1">
        <v>0.47667999999999999</v>
      </c>
    </row>
    <row r="87" spans="1:32" x14ac:dyDescent="0.3">
      <c r="A87" s="1" t="s">
        <v>47</v>
      </c>
      <c r="B87" s="1" t="s">
        <v>33</v>
      </c>
      <c r="C87" s="1">
        <v>3102</v>
      </c>
      <c r="D87" s="1">
        <v>25</v>
      </c>
      <c r="E87" s="1">
        <v>60</v>
      </c>
      <c r="F87" s="1">
        <v>8</v>
      </c>
      <c r="G87" s="1">
        <v>25</v>
      </c>
      <c r="H87" s="1">
        <v>2</v>
      </c>
      <c r="I87" s="1">
        <v>3</v>
      </c>
      <c r="J87" s="1">
        <v>105</v>
      </c>
      <c r="K87" s="1">
        <v>0.68899999999999995</v>
      </c>
      <c r="L87" s="1">
        <v>114.2</v>
      </c>
      <c r="M87" s="1">
        <v>21.207000000000001</v>
      </c>
      <c r="N87" s="1">
        <v>2.5379999999999998</v>
      </c>
      <c r="O87" s="1">
        <v>23.745000000000001</v>
      </c>
      <c r="P87" s="1">
        <v>0.84599999999999997</v>
      </c>
      <c r="Q87" s="1">
        <v>0.58899999999999997</v>
      </c>
      <c r="R87" s="1">
        <v>78.345280000000002</v>
      </c>
      <c r="S87" s="1">
        <v>40.974200000000003</v>
      </c>
      <c r="T87" s="1">
        <v>0.33889999999999998</v>
      </c>
      <c r="U87" s="1">
        <v>6459.4694</v>
      </c>
      <c r="V87" s="1">
        <v>12.953900000000001</v>
      </c>
      <c r="W87" s="1">
        <v>6.0407999999999999</v>
      </c>
      <c r="X87" s="1">
        <v>9.1426999999999996</v>
      </c>
      <c r="Y87" s="1">
        <v>5.2967000000000004</v>
      </c>
      <c r="Z87" s="1">
        <v>0.68500000000000005</v>
      </c>
      <c r="AA87" s="1">
        <v>5.26</v>
      </c>
      <c r="AB87" s="1">
        <v>450</v>
      </c>
      <c r="AC87" s="1">
        <v>0.6</v>
      </c>
      <c r="AD87" s="1">
        <v>5.12</v>
      </c>
      <c r="AE87" s="1">
        <v>118</v>
      </c>
      <c r="AF87" s="1">
        <v>0.44863999999999998</v>
      </c>
    </row>
    <row r="88" spans="1:32" x14ac:dyDescent="0.3">
      <c r="A88" s="1" t="s">
        <v>47</v>
      </c>
      <c r="B88" s="1" t="s">
        <v>33</v>
      </c>
      <c r="C88" s="1">
        <v>3102</v>
      </c>
      <c r="D88" s="1">
        <v>25</v>
      </c>
      <c r="E88" s="1">
        <v>60</v>
      </c>
      <c r="F88" s="1">
        <v>8</v>
      </c>
      <c r="G88" s="1">
        <v>25</v>
      </c>
      <c r="H88" s="1">
        <v>2</v>
      </c>
      <c r="I88" s="1">
        <v>3</v>
      </c>
      <c r="J88" s="1">
        <v>106.64</v>
      </c>
      <c r="K88" s="1">
        <v>0.67200000000000004</v>
      </c>
      <c r="L88" s="1">
        <v>114</v>
      </c>
      <c r="M88" s="1">
        <v>21.7</v>
      </c>
      <c r="N88" s="1">
        <v>2.5459999999999998</v>
      </c>
      <c r="O88" s="1">
        <v>24.245999999999999</v>
      </c>
      <c r="P88" s="1">
        <v>0.86599999999999999</v>
      </c>
      <c r="Q88" s="1">
        <v>0.55500000000000005</v>
      </c>
      <c r="R88" s="1">
        <v>82.989800000000002</v>
      </c>
      <c r="S88" s="1">
        <v>40.114600000000003</v>
      </c>
      <c r="T88" s="1">
        <v>0.43048999999999998</v>
      </c>
      <c r="U88" s="1">
        <v>5853.5936000000002</v>
      </c>
      <c r="V88" s="1">
        <v>15.1129</v>
      </c>
      <c r="W88" s="1">
        <v>6.9047999999999998</v>
      </c>
      <c r="X88" s="1">
        <v>9.5489999999999995</v>
      </c>
      <c r="Y88" s="1">
        <v>5.2967000000000004</v>
      </c>
      <c r="Z88" s="1">
        <v>0.63229999999999997</v>
      </c>
      <c r="AA88" s="1">
        <v>5.29</v>
      </c>
      <c r="AB88" s="1">
        <v>452</v>
      </c>
      <c r="AC88" s="1">
        <v>0.6</v>
      </c>
      <c r="AD88" s="1">
        <v>5.18</v>
      </c>
      <c r="AE88" s="1">
        <v>122</v>
      </c>
      <c r="AF88" s="1">
        <v>0.47667999999999999</v>
      </c>
    </row>
    <row r="89" spans="1:32" x14ac:dyDescent="0.3">
      <c r="A89" s="1" t="s">
        <v>47</v>
      </c>
      <c r="B89" s="1" t="s">
        <v>34</v>
      </c>
      <c r="C89" s="1">
        <v>3106</v>
      </c>
      <c r="D89" s="1">
        <v>17</v>
      </c>
      <c r="E89" s="1">
        <v>50</v>
      </c>
      <c r="F89" s="1">
        <v>4</v>
      </c>
      <c r="G89" s="1">
        <v>40</v>
      </c>
      <c r="H89" s="1">
        <v>3</v>
      </c>
      <c r="I89" s="1">
        <v>3</v>
      </c>
      <c r="J89" s="1">
        <v>86.72</v>
      </c>
      <c r="K89" s="1">
        <v>0.74299999999999999</v>
      </c>
      <c r="L89" s="1">
        <v>126</v>
      </c>
      <c r="M89" s="1">
        <v>21.001999999999999</v>
      </c>
      <c r="N89" s="1">
        <v>9.9779999999999998</v>
      </c>
      <c r="O89" s="1">
        <v>30.98</v>
      </c>
      <c r="P89" s="1">
        <v>0.93500000000000005</v>
      </c>
      <c r="Q89" s="1">
        <v>0.46</v>
      </c>
      <c r="R89" s="1">
        <v>79.738659999999996</v>
      </c>
      <c r="S89" s="1">
        <v>49.5702</v>
      </c>
      <c r="T89" s="1">
        <v>0.74429999999999996</v>
      </c>
      <c r="U89" s="1">
        <v>6408.1782999999996</v>
      </c>
      <c r="V89" s="1">
        <v>16.346</v>
      </c>
      <c r="W89" s="1">
        <v>6.0407999999999999</v>
      </c>
      <c r="X89" s="1">
        <v>6.5014000000000003</v>
      </c>
      <c r="Y89" s="1">
        <v>6.3559999999999999</v>
      </c>
      <c r="Z89" s="1">
        <v>0.31609999999999999</v>
      </c>
      <c r="AA89" s="1">
        <v>5.2</v>
      </c>
      <c r="AB89" s="1">
        <v>499</v>
      </c>
      <c r="AC89" s="1">
        <v>0.72</v>
      </c>
      <c r="AD89" s="1">
        <v>5.16</v>
      </c>
      <c r="AE89" s="1">
        <v>123</v>
      </c>
      <c r="AF89" s="1">
        <v>0.86924000000000001</v>
      </c>
    </row>
    <row r="90" spans="1:32" x14ac:dyDescent="0.3">
      <c r="A90" s="1" t="s">
        <v>47</v>
      </c>
      <c r="B90" s="1" t="s">
        <v>34</v>
      </c>
      <c r="C90" s="1">
        <v>3106</v>
      </c>
      <c r="D90" s="1">
        <v>17</v>
      </c>
      <c r="E90" s="1">
        <v>50</v>
      </c>
      <c r="F90" s="1">
        <v>4</v>
      </c>
      <c r="G90" s="1">
        <v>40</v>
      </c>
      <c r="H90" s="1">
        <v>3</v>
      </c>
      <c r="I90" s="1">
        <v>3</v>
      </c>
      <c r="J90" s="1">
        <v>87.56</v>
      </c>
      <c r="K90" s="1">
        <v>0.751</v>
      </c>
      <c r="L90" s="1">
        <v>126.9</v>
      </c>
      <c r="M90" s="1">
        <v>21.029</v>
      </c>
      <c r="N90" s="1">
        <v>8.52</v>
      </c>
      <c r="O90" s="1">
        <v>29.548999999999999</v>
      </c>
      <c r="P90" s="1">
        <v>0.91300000000000003</v>
      </c>
      <c r="Q90" s="1">
        <v>0.48</v>
      </c>
      <c r="R90" s="1">
        <v>75.094049999999996</v>
      </c>
      <c r="S90" s="1">
        <v>51.862499999999997</v>
      </c>
      <c r="T90" s="1">
        <v>0.82276000000000005</v>
      </c>
      <c r="U90" s="1">
        <v>6735.1589000000004</v>
      </c>
      <c r="V90" s="1">
        <v>15.728999999999999</v>
      </c>
      <c r="W90" s="1">
        <v>6.0407999999999999</v>
      </c>
      <c r="X90" s="1">
        <v>6.5014000000000003</v>
      </c>
      <c r="Y90" s="1">
        <v>6.3559999999999999</v>
      </c>
      <c r="Z90" s="1">
        <v>0.31609999999999999</v>
      </c>
      <c r="AA90" s="1">
        <v>5.23</v>
      </c>
      <c r="AB90" s="1">
        <v>512</v>
      </c>
      <c r="AC90" s="1">
        <v>0.73</v>
      </c>
      <c r="AD90" s="1">
        <v>5.08</v>
      </c>
      <c r="AE90" s="1">
        <v>131</v>
      </c>
      <c r="AF90" s="1">
        <v>0.89727999999999997</v>
      </c>
    </row>
    <row r="91" spans="1:32" x14ac:dyDescent="0.3">
      <c r="A91" s="1" t="s">
        <v>47</v>
      </c>
      <c r="B91" s="1" t="s">
        <v>34</v>
      </c>
      <c r="C91" s="1">
        <v>3106</v>
      </c>
      <c r="D91" s="1">
        <v>17</v>
      </c>
      <c r="E91" s="1">
        <v>50</v>
      </c>
      <c r="F91" s="1">
        <v>4</v>
      </c>
      <c r="G91" s="1">
        <v>40</v>
      </c>
      <c r="H91" s="1">
        <v>3</v>
      </c>
      <c r="I91" s="1">
        <v>3</v>
      </c>
      <c r="J91" s="1">
        <v>87.44</v>
      </c>
      <c r="K91" s="1">
        <v>0.75800000000000001</v>
      </c>
      <c r="L91" s="1">
        <v>128</v>
      </c>
      <c r="M91" s="1">
        <v>21.231000000000002</v>
      </c>
      <c r="N91" s="1">
        <v>9.1080000000000005</v>
      </c>
      <c r="O91" s="1">
        <v>30.338999999999999</v>
      </c>
      <c r="P91" s="1">
        <v>0.95099999999999996</v>
      </c>
      <c r="Q91" s="1">
        <v>0.44400000000000001</v>
      </c>
      <c r="R91" s="1">
        <v>75.558509999999998</v>
      </c>
      <c r="S91" s="1">
        <v>51.862499999999997</v>
      </c>
      <c r="T91" s="1">
        <v>0.83582999999999996</v>
      </c>
      <c r="U91" s="1">
        <v>6446.6466</v>
      </c>
      <c r="V91" s="1">
        <v>19.122</v>
      </c>
      <c r="W91" s="1">
        <v>6.9047999999999998</v>
      </c>
      <c r="X91" s="1">
        <v>6.9077999999999999</v>
      </c>
      <c r="Y91" s="1">
        <v>5.2967000000000004</v>
      </c>
      <c r="Z91" s="1">
        <v>0.42149999999999999</v>
      </c>
      <c r="AA91" s="1">
        <v>5.23</v>
      </c>
      <c r="AB91" s="1">
        <v>510</v>
      </c>
      <c r="AC91" s="1">
        <v>0.73</v>
      </c>
      <c r="AD91" s="1">
        <v>5.16</v>
      </c>
      <c r="AE91" s="1">
        <v>129</v>
      </c>
      <c r="AF91" s="1">
        <v>0.72903999999999991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Hirendra Bista</dc:creator>
  <cp:lastModifiedBy>Bista, Hirendra</cp:lastModifiedBy>
  <dcterms:created xsi:type="dcterms:W3CDTF">2015-06-05T18:17:20Z</dcterms:created>
  <dcterms:modified xsi:type="dcterms:W3CDTF">2025-02-04T06:16:55Z</dcterms:modified>
</cp:coreProperties>
</file>